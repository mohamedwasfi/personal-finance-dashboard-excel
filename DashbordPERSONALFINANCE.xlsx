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Ex1.xml" ContentType="application/vnd.ms-office.chartex+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ml.chartshapes+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d.docs.live.net/086d36a7a37c39ff/Desktop/"/>
    </mc:Choice>
  </mc:AlternateContent>
  <xr:revisionPtr revIDLastSave="0" documentId="8_{B8231157-983A-4191-B710-8D6FA246DD31}" xr6:coauthVersionLast="47" xr6:coauthVersionMax="47" xr10:uidLastSave="{00000000-0000-0000-0000-000000000000}"/>
  <bookViews>
    <workbookView xWindow="-108" yWindow="-108" windowWidth="23256" windowHeight="12456" tabRatio="590" xr2:uid="{0C424922-5D50-48AF-8713-C81C4896991C}"/>
  </bookViews>
  <sheets>
    <sheet name="Dashbord" sheetId="1" r:id="rId1"/>
    <sheet name="Budegting" sheetId="8" r:id="rId2"/>
    <sheet name="Investmants" sheetId="15" r:id="rId3"/>
    <sheet name="Debts" sheetId="16" r:id="rId4"/>
    <sheet name="Fin Goals" sheetId="17" r:id="rId5"/>
    <sheet name="Processing" sheetId="5" r:id="rId6"/>
    <sheet name="Control" sheetId="2" r:id="rId7"/>
    <sheet name="Data" sheetId="4" state="hidden" r:id="rId8"/>
    <sheet name="Sheet2" sheetId="6" state="hidden" r:id="rId9"/>
  </sheets>
  <definedNames>
    <definedName name="_xlchart.v1.0" hidden="1">Processing!$O$16:$O$19</definedName>
    <definedName name="ExternalData_1" localSheetId="7" hidden="1">Data!$A$1:$BG$367</definedName>
    <definedName name="Slicer_Month">#N/A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5" i="5" l="1" a="1"/>
  <c r="D45" i="5" a="1"/>
  <c r="E45" i="5" a="1"/>
  <c r="F45" i="5" a="1"/>
  <c r="G45" i="5" a="1"/>
  <c r="H45" i="5" a="1"/>
  <c r="B45" i="5" a="1"/>
  <c r="C46" i="5"/>
  <c r="D46" i="5"/>
  <c r="E46" i="5"/>
  <c r="F46" i="5"/>
  <c r="G46" i="5"/>
  <c r="H46" i="5"/>
  <c r="B46" i="5"/>
  <c r="F37" i="5"/>
  <c r="C39" i="5"/>
  <c r="D39" i="5"/>
  <c r="E39" i="5"/>
  <c r="B39" i="5"/>
  <c r="B40" i="5"/>
  <c r="B3" i="5"/>
  <c r="B4" i="5"/>
  <c r="B5" i="5"/>
  <c r="B6" i="5"/>
  <c r="B7" i="5"/>
  <c r="B8" i="5"/>
  <c r="B9" i="5"/>
  <c r="B10" i="5"/>
  <c r="B11" i="5"/>
  <c r="B12" i="5"/>
  <c r="B13" i="5"/>
  <c r="B2" i="5"/>
  <c r="E13" i="5"/>
  <c r="D5" i="5"/>
  <c r="D2" i="5"/>
  <c r="E12" i="5"/>
  <c r="E2" i="5"/>
  <c r="E5" i="5"/>
  <c r="D13" i="5"/>
  <c r="E10" i="5"/>
  <c r="E6" i="5"/>
  <c r="D6" i="5"/>
  <c r="D10" i="5"/>
  <c r="E3" i="5"/>
  <c r="E8" i="5"/>
  <c r="D7" i="5"/>
  <c r="E11" i="5"/>
  <c r="E9" i="5"/>
  <c r="D9" i="5"/>
  <c r="E7" i="5"/>
  <c r="D3" i="5"/>
  <c r="D8" i="5"/>
  <c r="D4" i="5"/>
  <c r="E4" i="5"/>
  <c r="D11" i="5"/>
  <c r="D12" i="5"/>
  <c r="K6" i="5"/>
  <c r="H3" i="5"/>
  <c r="B22" i="5"/>
  <c r="H7" i="5"/>
  <c r="O18" i="5"/>
  <c r="H10" i="5"/>
  <c r="H11" i="5"/>
  <c r="O16" i="5"/>
  <c r="E35" i="5"/>
  <c r="H2" i="5"/>
  <c r="G2" i="5"/>
  <c r="K2" i="5"/>
  <c r="G12" i="5"/>
  <c r="H4" i="5"/>
  <c r="G9" i="5"/>
  <c r="G13" i="5"/>
  <c r="D14" i="5"/>
  <c r="G8" i="5"/>
  <c r="G25" i="5"/>
  <c r="G26" i="5"/>
  <c r="H8" i="5"/>
  <c r="G6" i="5"/>
  <c r="E14" i="5"/>
  <c r="H13" i="5"/>
  <c r="H6" i="5"/>
  <c r="G7" i="5"/>
  <c r="B21" i="5"/>
  <c r="B23" i="5"/>
  <c r="B35" i="5"/>
  <c r="B18" i="5"/>
  <c r="G3" i="5"/>
  <c r="H12" i="5"/>
  <c r="G29" i="5"/>
  <c r="G4" i="5"/>
  <c r="G10" i="5"/>
  <c r="O17" i="5"/>
  <c r="G27" i="5"/>
  <c r="B19" i="5"/>
  <c r="H5" i="5"/>
  <c r="H9" i="5"/>
  <c r="G28" i="5"/>
  <c r="C35" i="5"/>
  <c r="O19" i="5"/>
  <c r="B20" i="5"/>
  <c r="D35" i="5"/>
  <c r="G5" i="5"/>
  <c r="G11" i="5"/>
  <c r="F35" i="5" l="1"/>
  <c r="F38" i="5" s="1"/>
  <c r="F39" i="5" s="1"/>
  <c r="E38" i="5"/>
  <c r="D38" i="5"/>
  <c r="C38" i="5"/>
  <c r="B38" i="5"/>
  <c r="H43" i="5" s="1" a="1"/>
  <c r="H44" i="5" s="1"/>
  <c r="B36" i="5"/>
  <c r="E36" i="5"/>
  <c r="D36" i="5"/>
  <c r="C36" i="5"/>
  <c r="L12" i="5"/>
  <c r="L11" i="5"/>
  <c r="L4" i="5"/>
  <c r="L8" i="5"/>
  <c r="L3" i="5"/>
  <c r="L9" i="5"/>
  <c r="L7" i="5"/>
  <c r="L10" i="5"/>
  <c r="L6" i="5"/>
  <c r="L13" i="5"/>
  <c r="L2" i="5"/>
  <c r="L5" i="5"/>
  <c r="O20" i="5"/>
  <c r="H24" i="5"/>
  <c r="H25" i="5" s="1"/>
  <c r="B25" i="5"/>
  <c r="B24" i="5"/>
  <c r="B26" i="5"/>
  <c r="M2" i="5" a="1"/>
  <c r="C14" i="5"/>
  <c r="J2" i="5"/>
  <c r="J11" i="5"/>
  <c r="J10" i="5"/>
  <c r="J8" i="5"/>
  <c r="J7" i="5"/>
  <c r="J9" i="5"/>
  <c r="J6" i="5"/>
  <c r="J5" i="5"/>
  <c r="J13" i="5"/>
  <c r="J12" i="5"/>
  <c r="J4" i="5"/>
  <c r="J3" i="5"/>
  <c r="F43" i="5" l="1" a="1"/>
  <c r="F44" i="5" s="1"/>
  <c r="G43" i="5" a="1"/>
  <c r="G44" i="5" s="1"/>
  <c r="D43" i="5" a="1"/>
  <c r="D44" i="5" s="1"/>
  <c r="E43" i="5" a="1"/>
  <c r="E44" i="5" s="1"/>
  <c r="F36" i="5"/>
  <c r="C43" i="5" a="1"/>
  <c r="C44" i="5" s="1"/>
  <c r="B43" i="5" a="1"/>
  <c r="B44" i="5" s="1"/>
  <c r="I25" i="5"/>
  <c r="J25" i="5" s="1"/>
  <c r="K25" i="5" s="1"/>
  <c r="L25" i="5" s="1"/>
  <c r="H26" i="5"/>
  <c r="I26" i="5" s="1"/>
  <c r="J26" i="5" s="1"/>
  <c r="K26" i="5" s="1"/>
  <c r="L26" i="5" s="1"/>
  <c r="H29" i="5"/>
  <c r="I29" i="5" s="1"/>
  <c r="J29" i="5" s="1"/>
  <c r="K29" i="5" s="1"/>
  <c r="L29" i="5" s="1"/>
  <c r="H27" i="5"/>
  <c r="I27" i="5" s="1"/>
  <c r="J27" i="5" s="1"/>
  <c r="K27" i="5" s="1"/>
  <c r="L27" i="5" s="1"/>
  <c r="H28" i="5"/>
  <c r="I28" i="5" s="1"/>
  <c r="J28" i="5" s="1"/>
  <c r="K28" i="5" s="1"/>
  <c r="L28" i="5" s="1"/>
  <c r="C20" i="5"/>
  <c r="C22" i="5"/>
  <c r="C23" i="5"/>
  <c r="C18" i="5"/>
  <c r="C21" i="5"/>
  <c r="C19" i="5"/>
  <c r="A27" i="5"/>
  <c r="B16" i="5" s="1"/>
  <c r="C26" i="5"/>
  <c r="O3" i="5"/>
  <c r="N2" i="5"/>
  <c r="P3" i="5" s="1"/>
  <c r="C7" i="5"/>
  <c r="C8" i="5"/>
  <c r="C9" i="5"/>
  <c r="C10" i="5"/>
  <c r="C3" i="5"/>
  <c r="C11" i="5"/>
  <c r="C4" i="5"/>
  <c r="C12" i="5"/>
  <c r="C5" i="5"/>
  <c r="C13" i="5"/>
  <c r="C6" i="5"/>
  <c r="C2" i="5"/>
  <c r="E18" i="5" l="1" a="1"/>
  <c r="F2" i="5"/>
  <c r="I2" i="5"/>
  <c r="F6" i="5"/>
  <c r="I6" i="5"/>
  <c r="F7" i="5"/>
  <c r="I7" i="5"/>
  <c r="F10" i="5"/>
  <c r="I10" i="5"/>
  <c r="F9" i="5"/>
  <c r="I9" i="5"/>
  <c r="F13" i="5"/>
  <c r="M13" i="5" s="1"/>
  <c r="I13" i="5"/>
  <c r="F8" i="5"/>
  <c r="I8" i="5"/>
  <c r="F5" i="5"/>
  <c r="I5" i="5"/>
  <c r="F12" i="5"/>
  <c r="I12" i="5"/>
  <c r="F4" i="5"/>
  <c r="I4" i="5"/>
  <c r="F11" i="5"/>
  <c r="I11" i="5"/>
  <c r="F3" i="5"/>
  <c r="I3" i="5"/>
  <c r="F19" i="5" l="1"/>
  <c r="F20" i="5" s="1"/>
  <c r="E19" i="5"/>
  <c r="E20" i="5" s="1"/>
  <c r="J19" i="5"/>
  <c r="J20" i="5" s="1"/>
  <c r="G19" i="5"/>
  <c r="G20" i="5" s="1"/>
  <c r="H19" i="5"/>
  <c r="H20" i="5" s="1"/>
  <c r="I19" i="5"/>
  <c r="I20"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A9B416-C795-4A4B-A555-73E3EA67A9A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<sst xmlns="http://schemas.openxmlformats.org/spreadsheetml/2006/main" count="577" uniqueCount="158">
  <si>
    <t>colors</t>
  </si>
  <si>
    <t>Date</t>
  </si>
  <si>
    <t>Month</t>
  </si>
  <si>
    <t>Month N</t>
  </si>
  <si>
    <t>Income</t>
  </si>
  <si>
    <t>Expenses</t>
  </si>
  <si>
    <t>Non-Fixed Incom</t>
  </si>
  <si>
    <t>Fixed Incom</t>
  </si>
  <si>
    <t>Other Income</t>
  </si>
  <si>
    <t>Non-Fixed Cost</t>
  </si>
  <si>
    <t>Fixed Costs</t>
  </si>
  <si>
    <t>Other Cost</t>
  </si>
  <si>
    <t>Fixed Incom Business</t>
  </si>
  <si>
    <t>Fixed Incom Securities</t>
  </si>
  <si>
    <t>Fixed Incom Real estate</t>
  </si>
  <si>
    <t>Fixed Incom Gold</t>
  </si>
  <si>
    <t>Fixed Incom Cryptocurrency</t>
  </si>
  <si>
    <t>Loans</t>
  </si>
  <si>
    <t>Training courses</t>
  </si>
  <si>
    <t>Travel public transport</t>
  </si>
  <si>
    <t>Mobile connection</t>
  </si>
  <si>
    <t>Food</t>
  </si>
  <si>
    <t>Utility Payments</t>
  </si>
  <si>
    <t>Internet &amp; TV</t>
  </si>
  <si>
    <t>Household chemicals</t>
  </si>
  <si>
    <t>Furniture &amp; utensils</t>
  </si>
  <si>
    <t>BedLinen &amp; tablecloth</t>
  </si>
  <si>
    <t>Cat food</t>
  </si>
  <si>
    <t>Clothing &amp; footwear</t>
  </si>
  <si>
    <t>Gym</t>
  </si>
  <si>
    <t>Hygiene products</t>
  </si>
  <si>
    <t>Medications</t>
  </si>
  <si>
    <t>Hairdresser</t>
  </si>
  <si>
    <t>Cosmetics &amp; perfumery</t>
  </si>
  <si>
    <t>Fuel</t>
  </si>
  <si>
    <t>Spare parts</t>
  </si>
  <si>
    <t>Parking</t>
  </si>
  <si>
    <t>Washing</t>
  </si>
  <si>
    <t>Insurance</t>
  </si>
  <si>
    <t>Holidays</t>
  </si>
  <si>
    <t>Excursions</t>
  </si>
  <si>
    <t>Restaurants</t>
  </si>
  <si>
    <t>Hotels</t>
  </si>
  <si>
    <t>Bags, packages, boxes</t>
  </si>
  <si>
    <t>Snacks on the way</t>
  </si>
  <si>
    <t>Investments Business</t>
  </si>
  <si>
    <t>Investments Securities</t>
  </si>
  <si>
    <t>Investments Cryptocurrency</t>
  </si>
  <si>
    <t>Investments Real estate</t>
  </si>
  <si>
    <t>Investments Gold</t>
  </si>
  <si>
    <t>Mortgage</t>
  </si>
  <si>
    <t>Car Leasing</t>
  </si>
  <si>
    <t>Consumer Credit</t>
  </si>
  <si>
    <t>Credit Card</t>
  </si>
  <si>
    <t>Goal 1</t>
  </si>
  <si>
    <t>Goal 2</t>
  </si>
  <si>
    <t>Goal 3</t>
  </si>
  <si>
    <t>Goal 4</t>
  </si>
  <si>
    <t>Monthly Plan</t>
  </si>
  <si>
    <t>Balance</t>
  </si>
  <si>
    <t>JANUARY</t>
  </si>
  <si>
    <t>FEBRUARY</t>
  </si>
  <si>
    <t>MARCH</t>
  </si>
  <si>
    <t>APRIL</t>
  </si>
  <si>
    <t>MAY</t>
  </si>
  <si>
    <t>JUNE</t>
  </si>
  <si>
    <t>JULY</t>
  </si>
  <si>
    <t>AUGUST</t>
  </si>
  <si>
    <t>SEPTEMBER</t>
  </si>
  <si>
    <t>OCTOBER</t>
  </si>
  <si>
    <t>NOVEMBER</t>
  </si>
  <si>
    <t>DECEMBER</t>
  </si>
  <si>
    <t>Row Labels</t>
  </si>
  <si>
    <t>Grand Total</t>
  </si>
  <si>
    <t>Sum of Income</t>
  </si>
  <si>
    <t>Sum of Expenses</t>
  </si>
  <si>
    <t>X</t>
  </si>
  <si>
    <t>indent</t>
  </si>
  <si>
    <t>Cursor I</t>
  </si>
  <si>
    <t>Cursor e</t>
  </si>
  <si>
    <t>Markar</t>
  </si>
  <si>
    <t>Labele</t>
  </si>
  <si>
    <t>#374AEC</t>
  </si>
  <si>
    <t>#1B2399</t>
  </si>
  <si>
    <t>#7C93FD</t>
  </si>
  <si>
    <t>#4641D1</t>
  </si>
  <si>
    <t>#0093CE</t>
  </si>
  <si>
    <t>#2069F0</t>
  </si>
  <si>
    <t>#9933FF</t>
  </si>
  <si>
    <t>indent C</t>
  </si>
  <si>
    <t>$#,##0;-$#,##0;0</t>
  </si>
  <si>
    <t>Max of Month N</t>
  </si>
  <si>
    <t>Ratio</t>
  </si>
  <si>
    <t>Ratio incom</t>
  </si>
  <si>
    <t>Y</t>
  </si>
  <si>
    <t>#808AEC</t>
  </si>
  <si>
    <t>#4A59E4</t>
  </si>
  <si>
    <t>#FF00FF</t>
  </si>
  <si>
    <t>Average of Balance</t>
  </si>
  <si>
    <t>Budget Plan</t>
  </si>
  <si>
    <t>Sum of Non-Fixed Incom</t>
  </si>
  <si>
    <t>Sum of Fixed Incom</t>
  </si>
  <si>
    <t>Sum of Other Income</t>
  </si>
  <si>
    <t>Sum of Non-Fixed Cost</t>
  </si>
  <si>
    <t>Sum of Fixed Costs</t>
  </si>
  <si>
    <t>Sum of Other Cost</t>
  </si>
  <si>
    <t>Total Cost</t>
  </si>
  <si>
    <t>Total Income</t>
  </si>
  <si>
    <t>Used Budegt</t>
  </si>
  <si>
    <t>Budgetig</t>
  </si>
  <si>
    <t>#0070B1</t>
  </si>
  <si>
    <t>#3A5CE2</t>
  </si>
  <si>
    <t>#476BEE</t>
  </si>
  <si>
    <t>#00B7D2</t>
  </si>
  <si>
    <t>#3647E3</t>
  </si>
  <si>
    <t>#8D76FC</t>
  </si>
  <si>
    <t>#8701DA</t>
  </si>
  <si>
    <t>#AD27FE</t>
  </si>
  <si>
    <t>#34349E</t>
  </si>
  <si>
    <t>#212469</t>
  </si>
  <si>
    <t>Budegt</t>
  </si>
  <si>
    <t>Investments</t>
  </si>
  <si>
    <t>Average of Investments Business</t>
  </si>
  <si>
    <t>Average of Investments Securities</t>
  </si>
  <si>
    <t>Average of Investments Cryptocurrency</t>
  </si>
  <si>
    <t>Average of Investments Real estate</t>
  </si>
  <si>
    <t>Average of Investments Gold</t>
  </si>
  <si>
    <t>Invest</t>
  </si>
  <si>
    <t>Labels</t>
  </si>
  <si>
    <t>Business</t>
  </si>
  <si>
    <t>Securities</t>
  </si>
  <si>
    <t xml:space="preserve"> Crypto</t>
  </si>
  <si>
    <t>Rent</t>
  </si>
  <si>
    <t>Gold</t>
  </si>
  <si>
    <t>Iterest Ratr</t>
  </si>
  <si>
    <t>Debts</t>
  </si>
  <si>
    <t>Average of Mortgage</t>
  </si>
  <si>
    <t>Average of Car Leasing</t>
  </si>
  <si>
    <t>Average of Consumer Credit</t>
  </si>
  <si>
    <t>Average of Credit Card</t>
  </si>
  <si>
    <t>Implemntaion</t>
  </si>
  <si>
    <t>Done</t>
  </si>
  <si>
    <t>Left</t>
  </si>
  <si>
    <t>Plan</t>
  </si>
  <si>
    <t>Done %</t>
  </si>
  <si>
    <t>Goals %</t>
  </si>
  <si>
    <t>MAX Plan</t>
  </si>
  <si>
    <t>Running</t>
  </si>
  <si>
    <t xml:space="preserve">Level Goal </t>
  </si>
  <si>
    <t>Finaincial Goals</t>
  </si>
  <si>
    <t>Average of Goal 1</t>
  </si>
  <si>
    <t>Average of Goal 2</t>
  </si>
  <si>
    <t>Average of Goal 3</t>
  </si>
  <si>
    <t>Average of Goal 4</t>
  </si>
  <si>
    <t>Total</t>
  </si>
  <si>
    <t>Sectors</t>
  </si>
  <si>
    <t>#CAD4FA</t>
  </si>
  <si>
    <t>#8199F3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</si>
</sst>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quot;$&quot;#,##0;0"/>
  </numFmts>
  <fonts count="10" x14ac:knownFonts="1">
    <font>
      <sz val="11"/>
      <color theme="1"/>
      <name val="Aptos Narrow"/>
      <family val="2"/>
      <scheme val="minor"/>
    </font>
    <font>
      <i/>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rgb="FF2069F0"/>
      <name val="Aptos Narrow"/>
      <family val="2"/>
      <scheme val="minor"/>
    </font>
    <font>
      <sz val="11"/>
      <color theme="3" tint="0.749992370372631"/>
      <name val="Aptos Narrow"/>
      <family val="2"/>
      <scheme val="minor"/>
    </font>
    <font>
      <sz val="12"/>
      <name val="Aptos Narrow"/>
      <family val="2"/>
      <scheme val="minor"/>
    </font>
  </fonts>
  <fills count="7">
    <fill>
      <patternFill patternType="none"/>
    </fill>
    <fill>
      <patternFill patternType="gray125"/>
    </fill>
    <fill>
      <patternFill patternType="solid">
        <fgColor rgb="FF12143D"/>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2069F0"/>
        <bgColor indexed="64"/>
      </patternFill>
    </fill>
    <fill>
      <patternFill patternType="solid">
        <fgColor rgb="FF9933FF"/>
        <bgColor indexed="64"/>
      </patternFill>
    </fill>
  </fills>
  <borders count="3">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33">
    <xf numFmtId="0" fontId="0" fillId="0" borderId="0" xfId="0"/>
    <xf numFmtId="0" fontId="0" fillId="2" borderId="0" xfId="0" applyFill="1"/>
    <xf numFmtId="0" fontId="1" fillId="0" borderId="0" xfId="0" applyFont="1"/>
    <xf numFmtId="14" fontId="0" fillId="0" borderId="0" xfId="0" applyNumberFormat="1"/>
    <xf numFmtId="0" fontId="3" fillId="3" borderId="1" xfId="0" applyFont="1" applyFill="1" applyBorder="1"/>
    <xf numFmtId="0" fontId="0" fillId="0" borderId="0" xfId="0" pivotButton="1"/>
    <xf numFmtId="0" fontId="0" fillId="0" borderId="0" xfId="0" applyAlignment="1">
      <alignment horizontal="left"/>
    </xf>
    <xf numFmtId="0" fontId="3" fillId="3" borderId="1" xfId="0" applyFont="1" applyFill="1" applyBorder="1" applyAlignment="1">
      <alignment horizontal="center"/>
    </xf>
    <xf numFmtId="0" fontId="0" fillId="4" borderId="1" xfId="0" applyFill="1" applyBorder="1" applyAlignment="1">
      <alignment horizontal="center"/>
    </xf>
    <xf numFmtId="0" fontId="4" fillId="0" borderId="0" xfId="0" applyFont="1" applyAlignment="1">
      <alignment horizontal="center"/>
    </xf>
    <xf numFmtId="0" fontId="0" fillId="0" borderId="0" xfId="0" applyAlignment="1">
      <alignment horizontal="center"/>
    </xf>
    <xf numFmtId="0" fontId="7" fillId="2" borderId="0" xfId="0" applyFont="1" applyFill="1"/>
    <xf numFmtId="0" fontId="0" fillId="6" borderId="0" xfId="0" applyFill="1"/>
    <xf numFmtId="0" fontId="7" fillId="5" borderId="0" xfId="0" applyFont="1" applyFill="1"/>
    <xf numFmtId="0" fontId="5" fillId="2" borderId="0" xfId="0" applyFont="1" applyFill="1"/>
    <xf numFmtId="164" fontId="0" fillId="0" borderId="0" xfId="0" applyNumberFormat="1" applyAlignment="1">
      <alignment horizontal="center"/>
    </xf>
    <xf numFmtId="9" fontId="0" fillId="0" borderId="0" xfId="1" applyFont="1" applyAlignment="1">
      <alignment horizontal="center"/>
    </xf>
    <xf numFmtId="0" fontId="0" fillId="0" borderId="0" xfId="1" applyNumberFormat="1" applyFont="1" applyAlignment="1">
      <alignment horizontal="center"/>
    </xf>
    <xf numFmtId="9" fontId="0" fillId="0" borderId="0" xfId="0" applyNumberFormat="1" applyAlignment="1">
      <alignment horizontal="center"/>
    </xf>
    <xf numFmtId="0" fontId="0" fillId="0" borderId="2" xfId="0" applyBorder="1" applyAlignment="1">
      <alignment horizontal="center"/>
    </xf>
    <xf numFmtId="0" fontId="0" fillId="0" borderId="2" xfId="1" applyNumberFormat="1" applyFont="1" applyBorder="1" applyAlignment="1">
      <alignment horizontal="center"/>
    </xf>
    <xf numFmtId="9" fontId="0" fillId="0" borderId="0" xfId="1" applyFont="1" applyAlignment="1">
      <alignment horizontal="center" vertical="center"/>
    </xf>
    <xf numFmtId="9" fontId="0" fillId="0" borderId="0" xfId="0" applyNumberFormat="1" applyAlignment="1">
      <alignment horizontal="center" vertical="center"/>
    </xf>
    <xf numFmtId="9" fontId="0" fillId="0" borderId="0" xfId="1" applyFont="1"/>
    <xf numFmtId="0" fontId="8" fillId="2" borderId="0" xfId="0" applyFont="1" applyFill="1"/>
    <xf numFmtId="0" fontId="9" fillId="0" borderId="0" xfId="0" applyFont="1"/>
    <xf numFmtId="0" fontId="0" fillId="0" borderId="0" xfId="0" applyAlignment="1">
      <alignment horizontal="right"/>
    </xf>
    <xf numFmtId="9" fontId="0" fillId="0" borderId="0" xfId="0" applyNumberFormat="1"/>
    <xf numFmtId="44" fontId="0" fillId="0" borderId="0" xfId="2" applyFont="1" applyAlignment="1">
      <alignment horizontal="center"/>
    </xf>
    <xf numFmtId="44" fontId="0" fillId="0" borderId="0" xfId="0" applyNumberFormat="1" applyAlignment="1">
      <alignment horizontal="center"/>
    </xf>
    <xf numFmtId="44" fontId="0" fillId="0" borderId="0" xfId="0" applyNumberFormat="1"/>
    <xf numFmtId="2" fontId="0" fillId="0" borderId="0" xfId="0" applyNumberFormat="1" applyAlignment="1">
      <alignment horizontal="center"/>
    </xf>
    <xf numFmtId="1" fontId="0" fillId="0" borderId="0" xfId="0" applyNumberFormat="1" applyAlignment="1">
      <alignment horizontal="center"/>
    </xf>
  </cellXfs>
  <cellStyles count="3">
    <cellStyle name="Currency" xfId="2" builtinId="4"/>
    <cellStyle name="Normal" xfId="0" builtinId="0"/>
    <cellStyle name="Percent" xfId="1" builtinId="5"/>
  </cellStyles>
  <dxfs count="7">
    <dxf>
      <numFmt numFmtId="0" formatCode="General"/>
    </dxf>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font>
        <b/>
        <color theme="1"/>
      </font>
      <border>
        <bottom style="thin">
          <color theme="4"/>
        </bottom>
        <vertical/>
        <horizontal/>
      </border>
    </dxf>
    <dxf>
      <font>
        <color theme="1"/>
      </font>
      <fill>
        <patternFill>
          <bgColor rgb="FF2E327F"/>
        </patternFill>
      </fill>
      <border diagonalUp="0" diagonalDown="0">
        <left/>
        <right/>
        <top/>
        <bottom/>
        <vertical/>
        <horizontal/>
      </border>
    </dxf>
  </dxfs>
  <tableStyles count="1" defaultTableStyle="TableStyleMedium2" defaultPivotStyle="PivotStyleLight16">
    <tableStyle name="SlicerStyleLight1 2" pivot="0" table="0" count="10" xr9:uid="{6006D1CE-5A97-498E-9A7E-12D54463B8F5}">
      <tableStyleElement type="wholeTable" dxfId="6"/>
      <tableStyleElement type="headerRow" dxfId="5"/>
    </tableStyle>
  </tableStyles>
  <colors>
    <mruColors>
      <color rgb="FF8D76FC"/>
      <color rgb="FF6372A4"/>
      <color rgb="FFCAD4FA"/>
      <color rgb="FF3366FF"/>
      <color rgb="FF8199F3"/>
      <color rgb="FF476BEE"/>
      <color rgb="FFAD27FE"/>
      <color rgb="FF4355D9"/>
      <color rgb="FF3A5CE2"/>
      <color rgb="FFFF00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3" tint="0.749961851863155"/>
          </font>
          <fill>
            <patternFill patternType="solid">
              <fgColor rgb="FFFFFFFF"/>
              <bgColor rgb="FF1E205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Processing!$C$1</c:f>
              <c:strCache>
                <c:ptCount val="1"/>
                <c:pt idx="0">
                  <c:v>indent</c:v>
                </c:pt>
              </c:strCache>
            </c:strRef>
          </c:tx>
          <c:spPr>
            <a:solidFill>
              <a:schemeClr val="accent1"/>
            </a:solidFill>
            <a:ln>
              <a:noFill/>
            </a:ln>
            <a:effectLst/>
          </c:spPr>
          <c:invertIfNegative val="0"/>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1394.8</c:v>
                </c:pt>
                <c:pt idx="1">
                  <c:v>1394.8</c:v>
                </c:pt>
                <c:pt idx="2">
                  <c:v>1394.8</c:v>
                </c:pt>
                <c:pt idx="3">
                  <c:v>1394.8</c:v>
                </c:pt>
                <c:pt idx="4">
                  <c:v>1394.8</c:v>
                </c:pt>
                <c:pt idx="5">
                  <c:v>1394.8</c:v>
                </c:pt>
                <c:pt idx="6">
                  <c:v>1394.8</c:v>
                </c:pt>
                <c:pt idx="7">
                  <c:v>1394.8</c:v>
                </c:pt>
                <c:pt idx="8">
                  <c:v>1394.8</c:v>
                </c:pt>
                <c:pt idx="9">
                  <c:v>1394.8</c:v>
                </c:pt>
                <c:pt idx="10">
                  <c:v>1394.8</c:v>
                </c:pt>
                <c:pt idx="11">
                  <c:v>1394.8</c:v>
                </c:pt>
              </c:numCache>
            </c:numRef>
          </c:val>
          <c:extLst>
            <c:ext xmlns:c16="http://schemas.microsoft.com/office/drawing/2014/chart" uri="{C3380CC4-5D6E-409C-BE32-E72D297353CC}">
              <c16:uniqueId val="{00000000-9543-4D92-9F8C-BEEE7D0B7A3D}"/>
            </c:ext>
          </c:extLst>
        </c:ser>
        <c:ser>
          <c:idx val="1"/>
          <c:order val="1"/>
          <c:tx>
            <c:strRef>
              <c:f>Processing!$D$1</c:f>
              <c:strCache>
                <c:ptCount val="1"/>
                <c:pt idx="0">
                  <c:v>Income</c:v>
                </c:pt>
              </c:strCache>
            </c:strRef>
          </c:tx>
          <c:spPr>
            <a:solidFill>
              <a:schemeClr val="accent2"/>
            </a:solidFill>
            <a:ln w="101600">
              <a:gradFill>
                <a:gsLst>
                  <a:gs pos="0">
                    <a:srgbClr val="374AEC"/>
                  </a:gs>
                  <a:gs pos="100000">
                    <a:srgbClr val="1B2399"/>
                  </a:gs>
                </a:gsLst>
                <a:lin ang="5400000" scaled="1"/>
              </a:gradFill>
            </a:ln>
            <a:effectLst/>
          </c:spPr>
          <c:invertIfNegative val="0"/>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17800</c:v>
                </c:pt>
                <c:pt idx="1">
                  <c:v>18080</c:v>
                </c:pt>
                <c:pt idx="2">
                  <c:v>20857</c:v>
                </c:pt>
                <c:pt idx="3">
                  <c:v>21688</c:v>
                </c:pt>
                <c:pt idx="4">
                  <c:v>23965</c:v>
                </c:pt>
                <c:pt idx="5">
                  <c:v>24696</c:v>
                </c:pt>
                <c:pt idx="6">
                  <c:v>27073</c:v>
                </c:pt>
                <c:pt idx="7">
                  <c:v>28654</c:v>
                </c:pt>
                <c:pt idx="8">
                  <c:v>29233</c:v>
                </c:pt>
                <c:pt idx="9">
                  <c:v>31762</c:v>
                </c:pt>
                <c:pt idx="10">
                  <c:v>32242</c:v>
                </c:pt>
                <c:pt idx="11">
                  <c:v>34870</c:v>
                </c:pt>
              </c:numCache>
            </c:numRef>
          </c:val>
          <c:extLst>
            <c:ext xmlns:c16="http://schemas.microsoft.com/office/drawing/2014/chart" uri="{C3380CC4-5D6E-409C-BE32-E72D297353CC}">
              <c16:uniqueId val="{00000001-9543-4D92-9F8C-BEEE7D0B7A3D}"/>
            </c:ext>
          </c:extLst>
        </c:ser>
        <c:dLbls>
          <c:showLegendKey val="0"/>
          <c:showVal val="0"/>
          <c:showCatName val="0"/>
          <c:showSerName val="0"/>
          <c:showPercent val="0"/>
          <c:showBubbleSize val="0"/>
        </c:dLbls>
        <c:gapWidth val="320"/>
        <c:overlap val="100"/>
        <c:axId val="1218783240"/>
        <c:axId val="1218779280"/>
      </c:barChart>
      <c:barChart>
        <c:barDir val="col"/>
        <c:grouping val="stacked"/>
        <c:varyColors val="0"/>
        <c:ser>
          <c:idx val="3"/>
          <c:order val="3"/>
          <c:tx>
            <c:strRef>
              <c:f>Processing!$F$1</c:f>
              <c:strCache>
                <c:ptCount val="1"/>
                <c:pt idx="0">
                  <c:v>indent C</c:v>
                </c:pt>
              </c:strCache>
            </c:strRef>
          </c:tx>
          <c:spPr>
            <a:solidFill>
              <a:schemeClr val="accent4"/>
            </a:solidFill>
            <a:ln>
              <a:noFill/>
            </a:ln>
            <a:effectLst/>
          </c:spPr>
          <c:invertIfNegative val="0"/>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1394.8</c:v>
                </c:pt>
                <c:pt idx="1">
                  <c:v>1394.8</c:v>
                </c:pt>
                <c:pt idx="2">
                  <c:v>1394.8</c:v>
                </c:pt>
                <c:pt idx="3">
                  <c:v>1394.8</c:v>
                </c:pt>
                <c:pt idx="4">
                  <c:v>1394.8</c:v>
                </c:pt>
                <c:pt idx="5">
                  <c:v>1394.8</c:v>
                </c:pt>
                <c:pt idx="6">
                  <c:v>1394.8</c:v>
                </c:pt>
                <c:pt idx="7">
                  <c:v>1394.8</c:v>
                </c:pt>
                <c:pt idx="8">
                  <c:v>1394.8</c:v>
                </c:pt>
                <c:pt idx="9">
                  <c:v>1394.8</c:v>
                </c:pt>
                <c:pt idx="10">
                  <c:v>1394.8</c:v>
                </c:pt>
                <c:pt idx="11">
                  <c:v>1394.8</c:v>
                </c:pt>
              </c:numCache>
            </c:numRef>
          </c:val>
          <c:extLst>
            <c:ext xmlns:c16="http://schemas.microsoft.com/office/drawing/2014/chart" uri="{C3380CC4-5D6E-409C-BE32-E72D297353CC}">
              <c16:uniqueId val="{00000002-9543-4D92-9F8C-BEEE7D0B7A3D}"/>
            </c:ext>
          </c:extLst>
        </c:ser>
        <c:ser>
          <c:idx val="4"/>
          <c:order val="4"/>
          <c:tx>
            <c:strRef>
              <c:f>Processing!$G$1</c:f>
              <c:strCache>
                <c:ptCount val="1"/>
                <c:pt idx="0">
                  <c:v>Cursor I</c:v>
                </c:pt>
              </c:strCache>
            </c:strRef>
          </c:tx>
          <c:spPr>
            <a:solidFill>
              <a:schemeClr val="accent5"/>
            </a:solidFill>
            <a:ln w="101600">
              <a:gradFill>
                <a:gsLst>
                  <a:gs pos="0">
                    <a:srgbClr val="7C93FD"/>
                  </a:gs>
                  <a:gs pos="100000">
                    <a:srgbClr val="4641D1"/>
                  </a:gs>
                </a:gsLst>
                <a:lin ang="5400000" scaled="1"/>
              </a:gradFill>
            </a:ln>
            <a:effectLst/>
          </c:spPr>
          <c:invertIfNegative val="0"/>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Processing!$G$2:$G$13</c:f>
              <c:numCache>
                <c:formatCode>General</c:formatCode>
                <c:ptCount val="12"/>
                <c:pt idx="0">
                  <c:v>17800</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3-9543-4D92-9F8C-BEEE7D0B7A3D}"/>
            </c:ext>
          </c:extLst>
        </c:ser>
        <c:dLbls>
          <c:showLegendKey val="0"/>
          <c:showVal val="0"/>
          <c:showCatName val="0"/>
          <c:showSerName val="0"/>
          <c:showPercent val="0"/>
          <c:showBubbleSize val="0"/>
        </c:dLbls>
        <c:gapWidth val="320"/>
        <c:overlap val="100"/>
        <c:axId val="1705915896"/>
        <c:axId val="581214208"/>
      </c:barChart>
      <c:lineChart>
        <c:grouping val="standard"/>
        <c:varyColors val="0"/>
        <c:ser>
          <c:idx val="2"/>
          <c:order val="2"/>
          <c:tx>
            <c:strRef>
              <c:f>Processing!$E$1</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18904</c:v>
                </c:pt>
                <c:pt idx="1">
                  <c:v>18279</c:v>
                </c:pt>
                <c:pt idx="2">
                  <c:v>20177</c:v>
                </c:pt>
                <c:pt idx="3">
                  <c:v>20154</c:v>
                </c:pt>
                <c:pt idx="4">
                  <c:v>21472</c:v>
                </c:pt>
                <c:pt idx="5">
                  <c:v>21406</c:v>
                </c:pt>
                <c:pt idx="6">
                  <c:v>22768</c:v>
                </c:pt>
                <c:pt idx="7">
                  <c:v>23426</c:v>
                </c:pt>
                <c:pt idx="8">
                  <c:v>23296</c:v>
                </c:pt>
                <c:pt idx="9">
                  <c:v>24722</c:v>
                </c:pt>
                <c:pt idx="10">
                  <c:v>24550</c:v>
                </c:pt>
                <c:pt idx="11">
                  <c:v>26016</c:v>
                </c:pt>
              </c:numCache>
            </c:numRef>
          </c:val>
          <c:smooth val="1"/>
          <c:extLst>
            <c:ext xmlns:c16="http://schemas.microsoft.com/office/drawing/2014/chart" uri="{C3380CC4-5D6E-409C-BE32-E72D297353CC}">
              <c16:uniqueId val="{00000004-9543-4D92-9F8C-BEEE7D0B7A3D}"/>
            </c:ext>
          </c:extLst>
        </c:ser>
        <c:dLbls>
          <c:showLegendKey val="0"/>
          <c:showVal val="0"/>
          <c:showCatName val="0"/>
          <c:showSerName val="0"/>
          <c:showPercent val="0"/>
          <c:showBubbleSize val="0"/>
        </c:dLbls>
        <c:marker val="1"/>
        <c:smooth val="0"/>
        <c:axId val="1218783240"/>
        <c:axId val="1218779280"/>
      </c:lineChart>
      <c:scatterChart>
        <c:scatterStyle val="lineMarker"/>
        <c:varyColors val="0"/>
        <c:ser>
          <c:idx val="5"/>
          <c:order val="5"/>
          <c:tx>
            <c:strRef>
              <c:f>Processing!$H$1</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FF00FF"/>
                </a:solidFill>
              </a:ln>
              <a:effectLst>
                <a:outerShdw blurRad="50800" dist="38100" dir="5400000" algn="t"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Processing!$H$2:$H$13</c:f>
                <c:numCache>
                  <c:formatCode>General</c:formatCode>
                  <c:ptCount val="12"/>
                  <c:pt idx="0">
                    <c:v>18904</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0093CE"/>
                </a:solidFill>
                <a:round/>
              </a:ln>
              <a:effectLst/>
            </c:spPr>
          </c:errBars>
          <c:errBars>
            <c:errDir val="x"/>
            <c:errBarType val="both"/>
            <c:errValType val="fixedVal"/>
            <c:noEndCap val="0"/>
            <c:val val="1"/>
            <c:spPr>
              <a:noFill/>
              <a:ln w="9525" cap="flat" cmpd="sng" algn="ctr">
                <a:solidFill>
                  <a:schemeClr val="tx1">
                    <a:lumMod val="65000"/>
                    <a:lumOff val="35000"/>
                  </a:schemeClr>
                </a:soli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Processing!$H$2:$H$13</c:f>
              <c:numCache>
                <c:formatCode>General</c:formatCode>
                <c:ptCount val="12"/>
                <c:pt idx="0">
                  <c:v>18904</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5-9543-4D92-9F8C-BEEE7D0B7A3D}"/>
            </c:ext>
          </c:extLst>
        </c:ser>
        <c:dLbls>
          <c:showLegendKey val="0"/>
          <c:showVal val="0"/>
          <c:showCatName val="0"/>
          <c:showSerName val="0"/>
          <c:showPercent val="0"/>
          <c:showBubbleSize val="0"/>
        </c:dLbls>
        <c:axId val="1218783240"/>
        <c:axId val="1218779280"/>
      </c:scatterChart>
      <c:scatterChart>
        <c:scatterStyle val="lineMarker"/>
        <c:varyColors val="0"/>
        <c:ser>
          <c:idx val="6"/>
          <c:order val="6"/>
          <c:tx>
            <c:strRef>
              <c:f>Processing!$I$1</c:f>
              <c:strCache>
                <c:ptCount val="1"/>
                <c:pt idx="0">
                  <c:v>Markar</c:v>
                </c:pt>
              </c:strCache>
            </c:strRef>
          </c:tx>
          <c:spPr>
            <a:ln w="25400" cap="rnd">
              <a:noFill/>
              <a:round/>
            </a:ln>
            <a:effectLst/>
          </c:spPr>
          <c:marker>
            <c:symbol val="none"/>
          </c:marker>
          <c:dLbls>
            <c:dLbl>
              <c:idx val="0"/>
              <c:tx>
                <c:rich>
                  <a:bodyPr/>
                  <a:lstStyle/>
                  <a:p>
                    <a:fld id="{0F7215FD-0376-4420-8DE6-DBC369CBAE3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543-4D92-9F8C-BEEE7D0B7A3D}"/>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543-4D92-9F8C-BEEE7D0B7A3D}"/>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543-4D92-9F8C-BEEE7D0B7A3D}"/>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9543-4D92-9F8C-BEEE7D0B7A3D}"/>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9543-4D92-9F8C-BEEE7D0B7A3D}"/>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9543-4D92-9F8C-BEEE7D0B7A3D}"/>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9543-4D92-9F8C-BEEE7D0B7A3D}"/>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9543-4D92-9F8C-BEEE7D0B7A3D}"/>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9543-4D92-9F8C-BEEE7D0B7A3D}"/>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9543-4D92-9F8C-BEEE7D0B7A3D}"/>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9543-4D92-9F8C-BEEE7D0B7A3D}"/>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9543-4D92-9F8C-BEEE7D0B7A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5000"/>
                        <a:lumOff val="7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Processing!$I$2:$I$13</c:f>
              <c:numCache>
                <c:formatCode>General</c:formatCode>
                <c:ptCount val="12"/>
                <c:pt idx="0">
                  <c:v>19194.8</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5="http://schemas.microsoft.com/office/drawing/2012/chart" uri="{02D57815-91ED-43cb-92C2-25804820EDAC}">
              <c15:datalabelsRange>
                <c15:f>Processing!$J$2:$J$13</c15:f>
                <c15:dlblRangeCache>
                  <c:ptCount val="12"/>
                  <c:pt idx="0">
                    <c:v>18k</c:v>
                  </c:pt>
                  <c:pt idx="1">
                    <c:v>#N/A</c:v>
                  </c:pt>
                  <c:pt idx="2">
                    <c:v>#N/A</c:v>
                  </c:pt>
                  <c:pt idx="3">
                    <c:v>#N/A</c:v>
                  </c:pt>
                  <c:pt idx="4">
                    <c:v>#N/A</c:v>
                  </c:pt>
                  <c:pt idx="5">
                    <c:v>#N/A</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06-9543-4D92-9F8C-BEEE7D0B7A3D}"/>
            </c:ext>
          </c:extLst>
        </c:ser>
        <c:dLbls>
          <c:showLegendKey val="0"/>
          <c:showVal val="0"/>
          <c:showCatName val="0"/>
          <c:showSerName val="0"/>
          <c:showPercent val="0"/>
          <c:showBubbleSize val="0"/>
        </c:dLbls>
        <c:axId val="1705915896"/>
        <c:axId val="581214208"/>
      </c:scatterChart>
      <c:catAx>
        <c:axId val="12187832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crossAx val="1218779280"/>
        <c:crosses val="autoZero"/>
        <c:auto val="1"/>
        <c:lblAlgn val="ctr"/>
        <c:lblOffset val="100"/>
        <c:noMultiLvlLbl val="0"/>
      </c:catAx>
      <c:valAx>
        <c:axId val="1218779280"/>
        <c:scaling>
          <c:orientation val="minMax"/>
        </c:scaling>
        <c:delete val="0"/>
        <c:axPos val="l"/>
        <c:majorGridlines>
          <c:spPr>
            <a:ln w="9525" cap="flat" cmpd="sng" algn="ctr">
              <a:solidFill>
                <a:srgbClr val="6372A4">
                  <a:alpha val="30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en-US"/>
          </a:p>
        </c:txPr>
        <c:crossAx val="1218783240"/>
        <c:crosses val="autoZero"/>
        <c:crossBetween val="between"/>
      </c:valAx>
      <c:valAx>
        <c:axId val="581214208"/>
        <c:scaling>
          <c:orientation val="minMax"/>
        </c:scaling>
        <c:delete val="1"/>
        <c:axPos val="r"/>
        <c:numFmt formatCode="General" sourceLinked="1"/>
        <c:majorTickMark val="out"/>
        <c:minorTickMark val="none"/>
        <c:tickLblPos val="nextTo"/>
        <c:crossAx val="1705915896"/>
        <c:crosses val="max"/>
        <c:crossBetween val="between"/>
      </c:valAx>
      <c:catAx>
        <c:axId val="1705915896"/>
        <c:scaling>
          <c:orientation val="minMax"/>
        </c:scaling>
        <c:delete val="1"/>
        <c:axPos val="b"/>
        <c:numFmt formatCode="General" sourceLinked="1"/>
        <c:majorTickMark val="out"/>
        <c:minorTickMark val="none"/>
        <c:tickLblPos val="nextTo"/>
        <c:crossAx val="5812142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Processing!$M$1</c:f>
          <c:strCache>
            <c:ptCount val="1"/>
            <c:pt idx="0">
              <c:v>Ratio incom</c:v>
            </c:pt>
          </c:strCache>
        </c:strRef>
      </c:tx>
      <c:layout>
        <c:manualLayout>
          <c:xMode val="edge"/>
          <c:yMode val="edge"/>
          <c:x val="0.24690767820689077"/>
          <c:y val="0.119047619047619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25000"/>
                  <a:lumOff val="75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a:gsLst>
                  <a:gs pos="16000">
                    <a:srgbClr val="808AEC"/>
                  </a:gs>
                  <a:gs pos="100000">
                    <a:srgbClr val="4A59E4"/>
                  </a:gs>
                </a:gsLst>
                <a:lin ang="6600000" scaled="0"/>
              </a:gradFill>
              <a:ln w="19050">
                <a:noFill/>
              </a:ln>
              <a:effectLst>
                <a:outerShdw blurRad="190500" dist="190500" dir="8100000" algn="tr" rotWithShape="0">
                  <a:prstClr val="black">
                    <a:alpha val="50000"/>
                  </a:prstClr>
                </a:outerShdw>
              </a:effectLst>
            </c:spPr>
            <c:extLst>
              <c:ext xmlns:c16="http://schemas.microsoft.com/office/drawing/2014/chart" uri="{C3380CC4-5D6E-409C-BE32-E72D297353CC}">
                <c16:uniqueId val="{00000001-B541-4DEA-A679-2BA105A583CC}"/>
              </c:ext>
            </c:extLst>
          </c:dPt>
          <c:dPt>
            <c:idx val="1"/>
            <c:bubble3D val="0"/>
            <c:spPr>
              <a:gradFill>
                <a:gsLst>
                  <a:gs pos="0">
                    <a:srgbClr val="FF00FF">
                      <a:alpha val="10000"/>
                    </a:srgbClr>
                  </a:gs>
                  <a:gs pos="88000">
                    <a:srgbClr val="FF00FF"/>
                  </a:gs>
                </a:gsLst>
                <a:lin ang="5400000" scaled="0"/>
              </a:gradFill>
              <a:ln w="19050">
                <a:noFill/>
              </a:ln>
              <a:effectLst/>
            </c:spPr>
            <c:extLst>
              <c:ext xmlns:c16="http://schemas.microsoft.com/office/drawing/2014/chart" uri="{C3380CC4-5D6E-409C-BE32-E72D297353CC}">
                <c16:uniqueId val="{00000003-B541-4DEA-A679-2BA105A583CC}"/>
              </c:ext>
            </c:extLst>
          </c:dPt>
          <c:val>
            <c:numRef>
              <c:f>Processing!$M$2:$N$2</c:f>
              <c:numCache>
                <c:formatCode>0%</c:formatCode>
                <c:ptCount val="2"/>
                <c:pt idx="0">
                  <c:v>0.48496076721883175</c:v>
                </c:pt>
                <c:pt idx="1">
                  <c:v>0.51503923278116825</c:v>
                </c:pt>
              </c:numCache>
            </c:numRef>
          </c:val>
          <c:extLst>
            <c:ext xmlns:c16="http://schemas.microsoft.com/office/drawing/2014/chart" uri="{C3380CC4-5D6E-409C-BE32-E72D297353CC}">
              <c16:uniqueId val="{00000004-B541-4DEA-A679-2BA105A583CC}"/>
            </c:ext>
          </c:extLst>
        </c:ser>
        <c:dLbls>
          <c:showLegendKey val="0"/>
          <c:showVal val="0"/>
          <c:showCatName val="0"/>
          <c:showSerName val="0"/>
          <c:showPercent val="0"/>
          <c:showBubbleSize val="0"/>
          <c:showLeaderLines val="1"/>
        </c:dLbls>
        <c:firstSliceAng val="0"/>
        <c:holeSize val="67"/>
      </c:doughnutChart>
      <c:scatterChart>
        <c:scatterStyle val="lineMarker"/>
        <c:varyColors val="0"/>
        <c:ser>
          <c:idx val="1"/>
          <c:order val="1"/>
          <c:tx>
            <c:v>XY</c:v>
          </c:tx>
          <c:spPr>
            <a:ln w="25400" cap="rnd">
              <a:noFill/>
              <a:round/>
            </a:ln>
            <a:effectLst>
              <a:outerShdw blurRad="50800" dist="38100" dir="10800000" algn="r" rotWithShape="0">
                <a:prstClr val="black">
                  <a:alpha val="40000"/>
                </a:prstClr>
              </a:outerShdw>
            </a:effectLst>
          </c:spPr>
          <c:marker>
            <c:symbol val="circle"/>
            <c:size val="18"/>
            <c:spPr>
              <a:solidFill>
                <a:srgbClr val="808AEC"/>
              </a:solidFill>
              <a:ln w="9525">
                <a:noFill/>
              </a:ln>
              <a:effectLst>
                <a:outerShdw blurRad="50800" dist="38100" dir="10800000" algn="r" rotWithShape="0">
                  <a:prstClr val="black">
                    <a:alpha val="40000"/>
                  </a:prstClr>
                </a:outerShdw>
              </a:effectLst>
            </c:spPr>
          </c:marker>
          <c:dPt>
            <c:idx val="1"/>
            <c:marker>
              <c:symbol val="circle"/>
              <c:size val="18"/>
              <c:spPr>
                <a:solidFill>
                  <a:srgbClr val="4A59E4"/>
                </a:solidFill>
                <a:ln w="12700">
                  <a:solidFill>
                    <a:schemeClr val="bg1"/>
                  </a:solidFill>
                </a:ln>
                <a:effectLst>
                  <a:outerShdw blurRad="50800" dist="38100" dir="10800000" algn="r" rotWithShape="0">
                    <a:prstClr val="black">
                      <a:alpha val="40000"/>
                    </a:prstClr>
                  </a:outerShdw>
                </a:effectLst>
              </c:spPr>
            </c:marker>
            <c:bubble3D val="0"/>
            <c:extLst>
              <c:ext xmlns:c16="http://schemas.microsoft.com/office/drawing/2014/chart" uri="{C3380CC4-5D6E-409C-BE32-E72D297353CC}">
                <c16:uniqueId val="{00000006-B541-4DEA-A679-2BA105A583CC}"/>
              </c:ext>
            </c:extLst>
          </c:dPt>
          <c:xVal>
            <c:numRef>
              <c:f>Processing!$O$2:$O$3</c:f>
              <c:numCache>
                <c:formatCode>General</c:formatCode>
                <c:ptCount val="2"/>
                <c:pt idx="0">
                  <c:v>0</c:v>
                </c:pt>
                <c:pt idx="1">
                  <c:v>9.4353723284894345E-2</c:v>
                </c:pt>
              </c:numCache>
            </c:numRef>
          </c:xVal>
          <c:yVal>
            <c:numRef>
              <c:f>Processing!$P$2:$P$3</c:f>
              <c:numCache>
                <c:formatCode>General</c:formatCode>
                <c:ptCount val="2"/>
                <c:pt idx="0">
                  <c:v>1</c:v>
                </c:pt>
                <c:pt idx="1">
                  <c:v>-0.99553873601295773</c:v>
                </c:pt>
              </c:numCache>
            </c:numRef>
          </c:yVal>
          <c:smooth val="0"/>
          <c:extLst>
            <c:ext xmlns:c16="http://schemas.microsoft.com/office/drawing/2014/chart" uri="{C3380CC4-5D6E-409C-BE32-E72D297353CC}">
              <c16:uniqueId val="{00000005-B541-4DEA-A679-2BA105A583CC}"/>
            </c:ext>
          </c:extLst>
        </c:ser>
        <c:dLbls>
          <c:showLegendKey val="0"/>
          <c:showVal val="0"/>
          <c:showCatName val="0"/>
          <c:showSerName val="0"/>
          <c:showPercent val="0"/>
          <c:showBubbleSize val="0"/>
        </c:dLbls>
        <c:axId val="1847465656"/>
        <c:axId val="1847467456"/>
      </c:scatterChart>
      <c:valAx>
        <c:axId val="1847467456"/>
        <c:scaling>
          <c:orientation val="minMax"/>
          <c:max val="1.2"/>
          <c:min val="-1.2"/>
        </c:scaling>
        <c:delete val="1"/>
        <c:axPos val="l"/>
        <c:numFmt formatCode="General" sourceLinked="1"/>
        <c:majorTickMark val="out"/>
        <c:minorTickMark val="none"/>
        <c:tickLblPos val="nextTo"/>
        <c:crossAx val="1847465656"/>
        <c:crosses val="autoZero"/>
        <c:crossBetween val="midCat"/>
      </c:valAx>
      <c:valAx>
        <c:axId val="1847465656"/>
        <c:scaling>
          <c:orientation val="minMax"/>
          <c:max val="1.2"/>
          <c:min val="-1.2"/>
        </c:scaling>
        <c:delete val="1"/>
        <c:axPos val="b"/>
        <c:numFmt formatCode="General" sourceLinked="1"/>
        <c:majorTickMark val="out"/>
        <c:minorTickMark val="none"/>
        <c:tickLblPos val="nextTo"/>
        <c:crossAx val="18474674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52370953630796"/>
          <c:y val="5.5944327521884232E-2"/>
          <c:w val="0.69476185476815389"/>
          <c:h val="0.70733647795044774"/>
        </c:manualLayout>
      </c:layout>
      <c:doughnutChart>
        <c:varyColors val="1"/>
        <c:ser>
          <c:idx val="0"/>
          <c:order val="0"/>
          <c:spPr>
            <a:ln>
              <a:noFill/>
            </a:ln>
          </c:spPr>
          <c:dPt>
            <c:idx val="0"/>
            <c:bubble3D val="0"/>
            <c:spPr>
              <a:gradFill>
                <a:gsLst>
                  <a:gs pos="15000">
                    <a:srgbClr val="0070B1"/>
                  </a:gs>
                  <a:gs pos="100000">
                    <a:srgbClr val="00B7D2"/>
                  </a:gs>
                </a:gsLst>
                <a:lin ang="8100000" scaled="1"/>
              </a:gradFill>
              <a:ln w="19050">
                <a:noFill/>
              </a:ln>
              <a:effectLst/>
            </c:spPr>
            <c:extLst>
              <c:ext xmlns:c16="http://schemas.microsoft.com/office/drawing/2014/chart" uri="{C3380CC4-5D6E-409C-BE32-E72D297353CC}">
                <c16:uniqueId val="{00000001-B5ED-465F-A131-256B4A24DBD8}"/>
              </c:ext>
            </c:extLst>
          </c:dPt>
          <c:dPt>
            <c:idx val="1"/>
            <c:bubble3D val="0"/>
            <c:spPr>
              <a:noFill/>
              <a:ln w="19050">
                <a:noFill/>
              </a:ln>
              <a:effectLst/>
            </c:spPr>
            <c:extLst>
              <c:ext xmlns:c16="http://schemas.microsoft.com/office/drawing/2014/chart" uri="{C3380CC4-5D6E-409C-BE32-E72D297353CC}">
                <c16:uniqueId val="{00000003-B5ED-465F-A131-256B4A24DBD8}"/>
              </c:ext>
            </c:extLst>
          </c:dPt>
          <c:dPt>
            <c:idx val="2"/>
            <c:bubble3D val="0"/>
            <c:spPr>
              <a:solidFill>
                <a:srgbClr val="00B702"/>
              </a:solidFill>
              <a:ln w="19050">
                <a:noFill/>
              </a:ln>
              <a:effectLst/>
            </c:spPr>
            <c:extLst>
              <c:ext xmlns:c16="http://schemas.microsoft.com/office/drawing/2014/chart" uri="{C3380CC4-5D6E-409C-BE32-E72D297353CC}">
                <c16:uniqueId val="{00000005-B5ED-465F-A131-256B4A24DBD8}"/>
              </c:ext>
            </c:extLst>
          </c:dPt>
          <c:dPt>
            <c:idx val="3"/>
            <c:bubble3D val="0"/>
            <c:spPr>
              <a:gradFill>
                <a:gsLst>
                  <a:gs pos="0">
                    <a:srgbClr val="3A5CE2"/>
                  </a:gs>
                  <a:gs pos="100000">
                    <a:srgbClr val="476BEE"/>
                  </a:gs>
                </a:gsLst>
                <a:lin ang="8100000" scaled="1"/>
              </a:gradFill>
              <a:ln w="19050">
                <a:noFill/>
              </a:ln>
              <a:effectLst/>
            </c:spPr>
            <c:extLst>
              <c:ext xmlns:c16="http://schemas.microsoft.com/office/drawing/2014/chart" uri="{C3380CC4-5D6E-409C-BE32-E72D297353CC}">
                <c16:uniqueId val="{00000007-B5ED-465F-A131-256B4A24DBD8}"/>
              </c:ext>
            </c:extLst>
          </c:dPt>
          <c:dPt>
            <c:idx val="4"/>
            <c:bubble3D val="0"/>
            <c:spPr>
              <a:noFill/>
              <a:ln w="19050">
                <a:noFill/>
              </a:ln>
              <a:effectLst/>
            </c:spPr>
            <c:extLst>
              <c:ext xmlns:c16="http://schemas.microsoft.com/office/drawing/2014/chart" uri="{C3380CC4-5D6E-409C-BE32-E72D297353CC}">
                <c16:uniqueId val="{00000009-B5ED-465F-A131-256B4A24DBD8}"/>
              </c:ext>
            </c:extLst>
          </c:dPt>
          <c:dPt>
            <c:idx val="5"/>
            <c:bubble3D val="0"/>
            <c:spPr>
              <a:solidFill>
                <a:srgbClr val="00B702"/>
              </a:solidFill>
              <a:ln w="19050">
                <a:noFill/>
              </a:ln>
              <a:effectLst/>
            </c:spPr>
            <c:extLst>
              <c:ext xmlns:c16="http://schemas.microsoft.com/office/drawing/2014/chart" uri="{C3380CC4-5D6E-409C-BE32-E72D297353CC}">
                <c16:uniqueId val="{0000000B-B5ED-465F-A131-256B4A24DBD8}"/>
              </c:ext>
            </c:extLst>
          </c:dPt>
          <c:val>
            <c:numRef>
              <c:f>Processing!$E$18:$J$18</c:f>
              <c:numCache>
                <c:formatCode>0%</c:formatCode>
                <c:ptCount val="6"/>
                <c:pt idx="0">
                  <c:v>0.1820835204310732</c:v>
                </c:pt>
                <c:pt idx="1">
                  <c:v>0.1546924113156713</c:v>
                </c:pt>
                <c:pt idx="2">
                  <c:v>0.18230803771890436</c:v>
                </c:pt>
                <c:pt idx="3">
                  <c:v>0.17220475976650201</c:v>
                </c:pt>
                <c:pt idx="4">
                  <c:v>0.15087561742254155</c:v>
                </c:pt>
                <c:pt idx="5">
                  <c:v>0.15783565334530758</c:v>
                </c:pt>
              </c:numCache>
            </c:numRef>
          </c:val>
          <c:extLst>
            <c:ext xmlns:c16="http://schemas.microsoft.com/office/drawing/2014/chart" uri="{C3380CC4-5D6E-409C-BE32-E72D297353CC}">
              <c16:uniqueId val="{0000000C-B5ED-465F-A131-256B4A24DBD8}"/>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E-B5ED-465F-A131-256B4A24DBD8}"/>
              </c:ext>
            </c:extLst>
          </c:dPt>
          <c:dPt>
            <c:idx val="1"/>
            <c:bubble3D val="0"/>
            <c:spPr>
              <a:noFill/>
              <a:ln w="19050">
                <a:noFill/>
              </a:ln>
              <a:effectLst/>
            </c:spPr>
            <c:extLst>
              <c:ext xmlns:c16="http://schemas.microsoft.com/office/drawing/2014/chart" uri="{C3380CC4-5D6E-409C-BE32-E72D297353CC}">
                <c16:uniqueId val="{00000010-B5ED-465F-A131-256B4A24DBD8}"/>
              </c:ext>
            </c:extLst>
          </c:dPt>
          <c:dPt>
            <c:idx val="2"/>
            <c:bubble3D val="0"/>
            <c:spPr>
              <a:noFill/>
              <a:ln w="19050">
                <a:noFill/>
              </a:ln>
              <a:effectLst/>
            </c:spPr>
            <c:extLst>
              <c:ext xmlns:c16="http://schemas.microsoft.com/office/drawing/2014/chart" uri="{C3380CC4-5D6E-409C-BE32-E72D297353CC}">
                <c16:uniqueId val="{00000012-B5ED-465F-A131-256B4A24DBD8}"/>
              </c:ext>
            </c:extLst>
          </c:dPt>
          <c:dPt>
            <c:idx val="3"/>
            <c:bubble3D val="0"/>
            <c:spPr>
              <a:noFill/>
              <a:ln w="19050">
                <a:noFill/>
              </a:ln>
              <a:effectLst/>
            </c:spPr>
            <c:extLst>
              <c:ext xmlns:c16="http://schemas.microsoft.com/office/drawing/2014/chart" uri="{C3380CC4-5D6E-409C-BE32-E72D297353CC}">
                <c16:uniqueId val="{00000014-B5ED-465F-A131-256B4A24DBD8}"/>
              </c:ext>
            </c:extLst>
          </c:dPt>
          <c:dPt>
            <c:idx val="4"/>
            <c:bubble3D val="0"/>
            <c:spPr>
              <a:noFill/>
              <a:ln w="19050">
                <a:noFill/>
              </a:ln>
              <a:effectLst/>
            </c:spPr>
            <c:extLst>
              <c:ext xmlns:c16="http://schemas.microsoft.com/office/drawing/2014/chart" uri="{C3380CC4-5D6E-409C-BE32-E72D297353CC}">
                <c16:uniqueId val="{00000016-B5ED-465F-A131-256B4A24DBD8}"/>
              </c:ext>
            </c:extLst>
          </c:dPt>
          <c:dPt>
            <c:idx val="5"/>
            <c:bubble3D val="0"/>
            <c:spPr>
              <a:noFill/>
              <a:ln w="19050">
                <a:noFill/>
              </a:ln>
              <a:effectLst/>
            </c:spPr>
            <c:extLst>
              <c:ext xmlns:c16="http://schemas.microsoft.com/office/drawing/2014/chart" uri="{C3380CC4-5D6E-409C-BE32-E72D297353CC}">
                <c16:uniqueId val="{00000018-B5ED-465F-A131-256B4A24DBD8}"/>
              </c:ext>
            </c:extLst>
          </c:dPt>
          <c:val>
            <c:numRef>
              <c:f>Processing!$E$18:$J$18</c:f>
              <c:numCache>
                <c:formatCode>0%</c:formatCode>
                <c:ptCount val="6"/>
                <c:pt idx="0">
                  <c:v>0.1820835204310732</c:v>
                </c:pt>
                <c:pt idx="1">
                  <c:v>0.1546924113156713</c:v>
                </c:pt>
                <c:pt idx="2">
                  <c:v>0.18230803771890436</c:v>
                </c:pt>
                <c:pt idx="3">
                  <c:v>0.17220475976650201</c:v>
                </c:pt>
                <c:pt idx="4">
                  <c:v>0.15087561742254155</c:v>
                </c:pt>
                <c:pt idx="5">
                  <c:v>0.15783565334530758</c:v>
                </c:pt>
              </c:numCache>
            </c:numRef>
          </c:val>
          <c:extLst>
            <c:ext xmlns:c16="http://schemas.microsoft.com/office/drawing/2014/chart" uri="{C3380CC4-5D6E-409C-BE32-E72D297353CC}">
              <c16:uniqueId val="{00000019-B5ED-465F-A131-256B4A24DBD8}"/>
            </c:ext>
          </c:extLst>
        </c:ser>
        <c:dLbls>
          <c:showLegendKey val="0"/>
          <c:showVal val="0"/>
          <c:showCatName val="0"/>
          <c:showSerName val="0"/>
          <c:showPercent val="0"/>
          <c:showBubbleSize val="0"/>
          <c:showLeaderLines val="1"/>
        </c:dLbls>
        <c:firstSliceAng val="15"/>
        <c:holeSize val="30"/>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B-B5ED-465F-A131-256B4A24DBD8}"/>
              </c:ext>
            </c:extLst>
          </c:dPt>
          <c:dPt>
            <c:idx val="1"/>
            <c:bubble3D val="0"/>
            <c:spPr>
              <a:noFill/>
              <a:ln w="19050">
                <a:noFill/>
              </a:ln>
              <a:effectLst/>
            </c:spPr>
            <c:extLst>
              <c:ext xmlns:c16="http://schemas.microsoft.com/office/drawing/2014/chart" uri="{C3380CC4-5D6E-409C-BE32-E72D297353CC}">
                <c16:uniqueId val="{0000001D-B5ED-465F-A131-256B4A24DBD8}"/>
              </c:ext>
            </c:extLst>
          </c:dPt>
          <c:dPt>
            <c:idx val="2"/>
            <c:bubble3D val="0"/>
            <c:spPr>
              <a:gradFill>
                <a:gsLst>
                  <a:gs pos="0">
                    <a:srgbClr val="3647E3"/>
                  </a:gs>
                  <a:gs pos="100000">
                    <a:srgbClr val="8D76FC"/>
                  </a:gs>
                </a:gsLst>
                <a:lin ang="8100000" scaled="1"/>
              </a:gradFill>
              <a:ln w="19050">
                <a:noFill/>
              </a:ln>
              <a:effectLst/>
            </c:spPr>
            <c:extLst>
              <c:ext xmlns:c16="http://schemas.microsoft.com/office/drawing/2014/chart" uri="{C3380CC4-5D6E-409C-BE32-E72D297353CC}">
                <c16:uniqueId val="{0000001F-B5ED-465F-A131-256B4A24DBD8}"/>
              </c:ext>
            </c:extLst>
          </c:dPt>
          <c:dPt>
            <c:idx val="3"/>
            <c:bubble3D val="0"/>
            <c:spPr>
              <a:noFill/>
              <a:ln w="19050">
                <a:noFill/>
              </a:ln>
              <a:effectLst/>
            </c:spPr>
            <c:extLst>
              <c:ext xmlns:c16="http://schemas.microsoft.com/office/drawing/2014/chart" uri="{C3380CC4-5D6E-409C-BE32-E72D297353CC}">
                <c16:uniqueId val="{00000021-B5ED-465F-A131-256B4A24DBD8}"/>
              </c:ext>
            </c:extLst>
          </c:dPt>
          <c:dPt>
            <c:idx val="4"/>
            <c:bubble3D val="0"/>
            <c:spPr>
              <a:noFill/>
              <a:ln w="19050">
                <a:noFill/>
              </a:ln>
              <a:effectLst/>
            </c:spPr>
            <c:extLst>
              <c:ext xmlns:c16="http://schemas.microsoft.com/office/drawing/2014/chart" uri="{C3380CC4-5D6E-409C-BE32-E72D297353CC}">
                <c16:uniqueId val="{00000023-B5ED-465F-A131-256B4A24DBD8}"/>
              </c:ext>
            </c:extLst>
          </c:dPt>
          <c:dPt>
            <c:idx val="5"/>
            <c:bubble3D val="0"/>
            <c:spPr>
              <a:gradFill>
                <a:gsLst>
                  <a:gs pos="0">
                    <a:srgbClr val="8701DA"/>
                  </a:gs>
                  <a:gs pos="100000">
                    <a:srgbClr val="AD27FE"/>
                  </a:gs>
                </a:gsLst>
                <a:lin ang="8100000" scaled="1"/>
              </a:gradFill>
              <a:ln w="19050">
                <a:noFill/>
              </a:ln>
              <a:effectLst/>
            </c:spPr>
            <c:extLst>
              <c:ext xmlns:c16="http://schemas.microsoft.com/office/drawing/2014/chart" uri="{C3380CC4-5D6E-409C-BE32-E72D297353CC}">
                <c16:uniqueId val="{00000025-B5ED-465F-A131-256B4A24DBD8}"/>
              </c:ext>
            </c:extLst>
          </c:dPt>
          <c:val>
            <c:numRef>
              <c:f>Processing!$E$20:$J$20</c:f>
              <c:numCache>
                <c:formatCode>0%</c:formatCode>
                <c:ptCount val="6"/>
                <c:pt idx="0">
                  <c:v>0.1820835204310732</c:v>
                </c:pt>
                <c:pt idx="1">
                  <c:v>0.1546924113156713</c:v>
                </c:pt>
                <c:pt idx="2">
                  <c:v>0.18230803771890436</c:v>
                </c:pt>
                <c:pt idx="3">
                  <c:v>0.17220475976650201</c:v>
                </c:pt>
                <c:pt idx="4">
                  <c:v>0.15087561742254155</c:v>
                </c:pt>
                <c:pt idx="5">
                  <c:v>0.15783565334530758</c:v>
                </c:pt>
              </c:numCache>
            </c:numRef>
          </c:val>
          <c:extLst>
            <c:ext xmlns:c16="http://schemas.microsoft.com/office/drawing/2014/chart" uri="{C3380CC4-5D6E-409C-BE32-E72D297353CC}">
              <c16:uniqueId val="{00000026-B5ED-465F-A131-256B4A24DBD8}"/>
            </c:ext>
          </c:extLst>
        </c:ser>
        <c:dLbls>
          <c:showLegendKey val="0"/>
          <c:showVal val="0"/>
          <c:showCatName val="0"/>
          <c:showSerName val="0"/>
          <c:showPercent val="0"/>
          <c:showBubbleSize val="0"/>
          <c:showLeaderLines val="1"/>
        </c:dLbls>
        <c:firstSliceAng val="15"/>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90320083247126"/>
          <c:y val="0.13750000000000001"/>
          <c:w val="0.44903216682099734"/>
          <c:h val="0.72499999999999998"/>
        </c:manualLayout>
      </c:layout>
      <c:doughnutChart>
        <c:varyColors val="1"/>
        <c:ser>
          <c:idx val="0"/>
          <c:order val="0"/>
          <c:tx>
            <c:strRef>
              <c:f>Processing!$A$26</c:f>
              <c:strCache>
                <c:ptCount val="1"/>
                <c:pt idx="0">
                  <c:v>Used Budegt</c:v>
                </c:pt>
              </c:strCache>
            </c:strRef>
          </c:tx>
          <c:spPr>
            <a:ln>
              <a:noFill/>
            </a:ln>
          </c:spPr>
          <c:dPt>
            <c:idx val="0"/>
            <c:bubble3D val="0"/>
            <c:spPr>
              <a:solidFill>
                <a:srgbClr val="3647E3"/>
              </a:solidFill>
              <a:ln w="19050">
                <a:noFill/>
              </a:ln>
              <a:effectLst/>
            </c:spPr>
            <c:extLst>
              <c:ext xmlns:c16="http://schemas.microsoft.com/office/drawing/2014/chart" uri="{C3380CC4-5D6E-409C-BE32-E72D297353CC}">
                <c16:uniqueId val="{00000001-FC92-4A08-8A2E-CA7C8A909A8F}"/>
              </c:ext>
            </c:extLst>
          </c:dPt>
          <c:dPt>
            <c:idx val="1"/>
            <c:bubble3D val="0"/>
            <c:spPr>
              <a:noFill/>
              <a:ln w="19050">
                <a:noFill/>
              </a:ln>
              <a:effectLst/>
            </c:spPr>
            <c:extLst>
              <c:ext xmlns:c16="http://schemas.microsoft.com/office/drawing/2014/chart" uri="{C3380CC4-5D6E-409C-BE32-E72D297353CC}">
                <c16:uniqueId val="{00000003-FC92-4A08-8A2E-CA7C8A909A8F}"/>
              </c:ext>
            </c:extLst>
          </c:dPt>
          <c:val>
            <c:numRef>
              <c:f>Processing!$B$26:$C$26</c:f>
              <c:numCache>
                <c:formatCode>0%</c:formatCode>
                <c:ptCount val="2"/>
                <c:pt idx="0">
                  <c:v>6.3013333333333338E-2</c:v>
                </c:pt>
                <c:pt idx="1">
                  <c:v>0.93698666666666663</c:v>
                </c:pt>
              </c:numCache>
            </c:numRef>
          </c:val>
          <c:extLst>
            <c:ext xmlns:c16="http://schemas.microsoft.com/office/drawing/2014/chart" uri="{C3380CC4-5D6E-409C-BE32-E72D297353CC}">
              <c16:uniqueId val="{00000004-FC92-4A08-8A2E-CA7C8A909A8F}"/>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54877515310584"/>
          <c:y val="5.0925925925925923E-2"/>
          <c:w val="0.47534689413823272"/>
          <c:h val="0.79224482356372117"/>
        </c:manualLayout>
      </c:layout>
      <c:doughnutChart>
        <c:varyColors val="1"/>
        <c:ser>
          <c:idx val="0"/>
          <c:order val="0"/>
          <c:spPr>
            <a:ln>
              <a:noFill/>
            </a:ln>
          </c:spPr>
          <c:dPt>
            <c:idx val="0"/>
            <c:bubble3D val="0"/>
            <c:spPr>
              <a:gradFill>
                <a:gsLst>
                  <a:gs pos="100000">
                    <a:srgbClr val="4355D9"/>
                  </a:gs>
                  <a:gs pos="43000">
                    <a:srgbClr val="8D76FC"/>
                  </a:gs>
                </a:gsLst>
                <a:lin ang="5400000" scaled="1"/>
              </a:gradFill>
              <a:ln w="19050">
                <a:noFill/>
              </a:ln>
              <a:effectLst/>
            </c:spPr>
            <c:extLst>
              <c:ext xmlns:c16="http://schemas.microsoft.com/office/drawing/2014/chart" uri="{C3380CC4-5D6E-409C-BE32-E72D297353CC}">
                <c16:uniqueId val="{00000001-37A3-48AF-BD90-34DABBECA85B}"/>
              </c:ext>
            </c:extLst>
          </c:dPt>
          <c:dPt>
            <c:idx val="1"/>
            <c:bubble3D val="0"/>
            <c:spPr>
              <a:gradFill>
                <a:gsLst>
                  <a:gs pos="0">
                    <a:srgbClr val="4355D9"/>
                  </a:gs>
                  <a:gs pos="60000">
                    <a:srgbClr val="00B0F0"/>
                  </a:gs>
                </a:gsLst>
                <a:lin ang="1800000" scaled="0"/>
              </a:gradFill>
              <a:ln w="19050">
                <a:noFill/>
              </a:ln>
              <a:effectLst/>
            </c:spPr>
            <c:extLst>
              <c:ext xmlns:c16="http://schemas.microsoft.com/office/drawing/2014/chart" uri="{C3380CC4-5D6E-409C-BE32-E72D297353CC}">
                <c16:uniqueId val="{00000003-37A3-48AF-BD90-34DABBECA85B}"/>
              </c:ext>
            </c:extLst>
          </c:dPt>
          <c:dPt>
            <c:idx val="2"/>
            <c:bubble3D val="0"/>
            <c:spPr>
              <a:gradFill>
                <a:gsLst>
                  <a:gs pos="0">
                    <a:srgbClr val="4355D9"/>
                  </a:gs>
                  <a:gs pos="60000">
                    <a:srgbClr val="3366FF"/>
                  </a:gs>
                </a:gsLst>
                <a:lin ang="1800000" scaled="0"/>
              </a:gradFill>
              <a:ln w="19050">
                <a:noFill/>
              </a:ln>
              <a:effectLst/>
            </c:spPr>
            <c:extLst>
              <c:ext xmlns:c16="http://schemas.microsoft.com/office/drawing/2014/chart" uri="{C3380CC4-5D6E-409C-BE32-E72D297353CC}">
                <c16:uniqueId val="{00000005-37A3-48AF-BD90-34DABBECA85B}"/>
              </c:ext>
            </c:extLst>
          </c:dPt>
          <c:dPt>
            <c:idx val="3"/>
            <c:bubble3D val="0"/>
            <c:spPr>
              <a:gradFill>
                <a:gsLst>
                  <a:gs pos="0">
                    <a:srgbClr val="10123A"/>
                  </a:gs>
                  <a:gs pos="100000">
                    <a:srgbClr val="3366FF"/>
                  </a:gs>
                </a:gsLst>
                <a:lin ang="1800000" scaled="0"/>
              </a:gradFill>
              <a:ln w="19050">
                <a:noFill/>
              </a:ln>
              <a:effectLst/>
            </c:spPr>
            <c:extLst>
              <c:ext xmlns:c16="http://schemas.microsoft.com/office/drawing/2014/chart" uri="{C3380CC4-5D6E-409C-BE32-E72D297353CC}">
                <c16:uniqueId val="{00000007-37A3-48AF-BD90-34DABBECA85B}"/>
              </c:ext>
            </c:extLst>
          </c:dPt>
          <c:dPt>
            <c:idx val="4"/>
            <c:bubble3D val="0"/>
            <c:spPr>
              <a:gradFill>
                <a:gsLst>
                  <a:gs pos="0">
                    <a:srgbClr val="AD27FE"/>
                  </a:gs>
                  <a:gs pos="100000">
                    <a:srgbClr val="7030A0"/>
                  </a:gs>
                </a:gsLst>
                <a:lin ang="1800000" scaled="0"/>
              </a:gradFill>
              <a:ln w="19050">
                <a:noFill/>
              </a:ln>
              <a:effectLst/>
            </c:spPr>
            <c:extLst>
              <c:ext xmlns:c16="http://schemas.microsoft.com/office/drawing/2014/chart" uri="{C3380CC4-5D6E-409C-BE32-E72D297353CC}">
                <c16:uniqueId val="{00000009-37A3-48AF-BD90-34DABBECA85B}"/>
              </c:ext>
            </c:extLst>
          </c:dPt>
          <c:dPt>
            <c:idx val="5"/>
            <c:bubble3D val="0"/>
            <c:spPr>
              <a:noFill/>
              <a:ln w="19050">
                <a:noFill/>
              </a:ln>
              <a:effectLst/>
            </c:spPr>
            <c:extLst>
              <c:ext xmlns:c16="http://schemas.microsoft.com/office/drawing/2014/chart" uri="{C3380CC4-5D6E-409C-BE32-E72D297353CC}">
                <c16:uniqueId val="{0000000B-37A3-48AF-BD90-34DABBECA85B}"/>
              </c:ext>
            </c:extLst>
          </c:dPt>
          <c:cat>
            <c:strRef>
              <c:f>Processing!$M$25:$M$29</c:f>
              <c:strCache>
                <c:ptCount val="5"/>
                <c:pt idx="0">
                  <c:v>Business</c:v>
                </c:pt>
                <c:pt idx="1">
                  <c:v>Securities</c:v>
                </c:pt>
                <c:pt idx="2">
                  <c:v> Crypto</c:v>
                </c:pt>
                <c:pt idx="3">
                  <c:v>Rent</c:v>
                </c:pt>
                <c:pt idx="4">
                  <c:v>Gold</c:v>
                </c:pt>
              </c:strCache>
            </c:strRef>
          </c:cat>
          <c:val>
            <c:numRef>
              <c:f>Processing!$H$25:$H$30</c:f>
              <c:numCache>
                <c:formatCode>0%</c:formatCode>
                <c:ptCount val="6"/>
                <c:pt idx="0">
                  <c:v>0.20106524633821571</c:v>
                </c:pt>
                <c:pt idx="1">
                  <c:v>0.23861517976031954</c:v>
                </c:pt>
                <c:pt idx="2">
                  <c:v>0.17896138482023966</c:v>
                </c:pt>
                <c:pt idx="3">
                  <c:v>0.19573901464713714</c:v>
                </c:pt>
                <c:pt idx="4">
                  <c:v>0.18561917443408787</c:v>
                </c:pt>
                <c:pt idx="5">
                  <c:v>1</c:v>
                </c:pt>
              </c:numCache>
            </c:numRef>
          </c:val>
          <c:extLst>
            <c:ext xmlns:c16="http://schemas.microsoft.com/office/drawing/2014/chart" uri="{C3380CC4-5D6E-409C-BE32-E72D297353CC}">
              <c16:uniqueId val="{0000000C-37A3-48AF-BD90-34DABBECA85B}"/>
            </c:ext>
          </c:extLst>
        </c:ser>
        <c:ser>
          <c:idx val="1"/>
          <c:order val="1"/>
          <c:spPr>
            <a:ln>
              <a:noFill/>
            </a:ln>
          </c:spPr>
          <c:dPt>
            <c:idx val="0"/>
            <c:bubble3D val="0"/>
            <c:spPr>
              <a:gradFill>
                <a:gsLst>
                  <a:gs pos="100000">
                    <a:srgbClr val="4355D9"/>
                  </a:gs>
                  <a:gs pos="43000">
                    <a:srgbClr val="8D76FC"/>
                  </a:gs>
                </a:gsLst>
                <a:lin ang="5400000" scaled="1"/>
              </a:gradFill>
              <a:ln w="19050">
                <a:noFill/>
              </a:ln>
              <a:effectLst/>
            </c:spPr>
            <c:extLst>
              <c:ext xmlns:c16="http://schemas.microsoft.com/office/drawing/2014/chart" uri="{C3380CC4-5D6E-409C-BE32-E72D297353CC}">
                <c16:uniqueId val="{0000000E-37A3-48AF-BD90-34DABBECA85B}"/>
              </c:ext>
            </c:extLst>
          </c:dPt>
          <c:dPt>
            <c:idx val="1"/>
            <c:bubble3D val="0"/>
            <c:spPr>
              <a:gradFill>
                <a:gsLst>
                  <a:gs pos="0">
                    <a:srgbClr val="4355D9"/>
                  </a:gs>
                  <a:gs pos="60000">
                    <a:srgbClr val="00B0F0"/>
                  </a:gs>
                </a:gsLst>
                <a:lin ang="1800000" scaled="0"/>
              </a:gradFill>
              <a:ln w="19050">
                <a:noFill/>
              </a:ln>
              <a:effectLst/>
            </c:spPr>
            <c:extLst>
              <c:ext xmlns:c16="http://schemas.microsoft.com/office/drawing/2014/chart" uri="{C3380CC4-5D6E-409C-BE32-E72D297353CC}">
                <c16:uniqueId val="{00000010-37A3-48AF-BD90-34DABBECA85B}"/>
              </c:ext>
            </c:extLst>
          </c:dPt>
          <c:dPt>
            <c:idx val="2"/>
            <c:bubble3D val="0"/>
            <c:spPr>
              <a:gradFill>
                <a:gsLst>
                  <a:gs pos="0">
                    <a:srgbClr val="4355D9"/>
                  </a:gs>
                  <a:gs pos="60000">
                    <a:srgbClr val="3366FF"/>
                  </a:gs>
                </a:gsLst>
                <a:lin ang="1800000" scaled="0"/>
              </a:gradFill>
              <a:ln w="19050">
                <a:noFill/>
              </a:ln>
              <a:effectLst/>
            </c:spPr>
            <c:extLst>
              <c:ext xmlns:c16="http://schemas.microsoft.com/office/drawing/2014/chart" uri="{C3380CC4-5D6E-409C-BE32-E72D297353CC}">
                <c16:uniqueId val="{00000012-37A3-48AF-BD90-34DABBECA85B}"/>
              </c:ext>
            </c:extLst>
          </c:dPt>
          <c:dPt>
            <c:idx val="3"/>
            <c:bubble3D val="0"/>
            <c:spPr>
              <a:gradFill>
                <a:gsLst>
                  <a:gs pos="0">
                    <a:srgbClr val="10123A"/>
                  </a:gs>
                  <a:gs pos="100000">
                    <a:srgbClr val="3366FF"/>
                  </a:gs>
                </a:gsLst>
                <a:lin ang="1800000" scaled="0"/>
              </a:gradFill>
              <a:ln w="19050">
                <a:noFill/>
              </a:ln>
              <a:effectLst/>
            </c:spPr>
            <c:extLst>
              <c:ext xmlns:c16="http://schemas.microsoft.com/office/drawing/2014/chart" uri="{C3380CC4-5D6E-409C-BE32-E72D297353CC}">
                <c16:uniqueId val="{00000014-37A3-48AF-BD90-34DABBECA85B}"/>
              </c:ext>
            </c:extLst>
          </c:dPt>
          <c:dPt>
            <c:idx val="4"/>
            <c:bubble3D val="0"/>
            <c:spPr>
              <a:noFill/>
              <a:ln w="19050">
                <a:noFill/>
              </a:ln>
              <a:effectLst/>
            </c:spPr>
            <c:extLst>
              <c:ext xmlns:c16="http://schemas.microsoft.com/office/drawing/2014/chart" uri="{C3380CC4-5D6E-409C-BE32-E72D297353CC}">
                <c16:uniqueId val="{00000016-37A3-48AF-BD90-34DABBECA85B}"/>
              </c:ext>
            </c:extLst>
          </c:dPt>
          <c:dPt>
            <c:idx val="5"/>
            <c:bubble3D val="0"/>
            <c:spPr>
              <a:noFill/>
              <a:ln w="19050">
                <a:noFill/>
              </a:ln>
              <a:effectLst/>
            </c:spPr>
            <c:extLst>
              <c:ext xmlns:c16="http://schemas.microsoft.com/office/drawing/2014/chart" uri="{C3380CC4-5D6E-409C-BE32-E72D297353CC}">
                <c16:uniqueId val="{00000018-37A3-48AF-BD90-34DABBECA85B}"/>
              </c:ext>
            </c:extLst>
          </c:dPt>
          <c:cat>
            <c:strRef>
              <c:f>Processing!$M$25:$M$29</c:f>
              <c:strCache>
                <c:ptCount val="5"/>
                <c:pt idx="0">
                  <c:v>Business</c:v>
                </c:pt>
                <c:pt idx="1">
                  <c:v>Securities</c:v>
                </c:pt>
                <c:pt idx="2">
                  <c:v> Crypto</c:v>
                </c:pt>
                <c:pt idx="3">
                  <c:v>Rent</c:v>
                </c:pt>
                <c:pt idx="4">
                  <c:v>Gold</c:v>
                </c:pt>
              </c:strCache>
            </c:strRef>
          </c:cat>
          <c:val>
            <c:numRef>
              <c:f>Processing!$I$25:$I$30</c:f>
              <c:numCache>
                <c:formatCode>0%</c:formatCode>
                <c:ptCount val="6"/>
                <c:pt idx="0">
                  <c:v>0.20106524633821571</c:v>
                </c:pt>
                <c:pt idx="1">
                  <c:v>0.23861517976031954</c:v>
                </c:pt>
                <c:pt idx="2">
                  <c:v>0.17896138482023966</c:v>
                </c:pt>
                <c:pt idx="3">
                  <c:v>0.19573901464713714</c:v>
                </c:pt>
                <c:pt idx="4">
                  <c:v>0.18561917443408787</c:v>
                </c:pt>
                <c:pt idx="5">
                  <c:v>1</c:v>
                </c:pt>
              </c:numCache>
            </c:numRef>
          </c:val>
          <c:extLst>
            <c:ext xmlns:c16="http://schemas.microsoft.com/office/drawing/2014/chart" uri="{C3380CC4-5D6E-409C-BE32-E72D297353CC}">
              <c16:uniqueId val="{00000019-37A3-48AF-BD90-34DABBECA85B}"/>
            </c:ext>
          </c:extLst>
        </c:ser>
        <c:ser>
          <c:idx val="2"/>
          <c:order val="2"/>
          <c:spPr>
            <a:ln>
              <a:noFill/>
            </a:ln>
          </c:spPr>
          <c:dPt>
            <c:idx val="0"/>
            <c:bubble3D val="0"/>
            <c:spPr>
              <a:gradFill>
                <a:gsLst>
                  <a:gs pos="100000">
                    <a:srgbClr val="4355D9"/>
                  </a:gs>
                  <a:gs pos="43000">
                    <a:srgbClr val="8D76FC"/>
                  </a:gs>
                </a:gsLst>
                <a:lin ang="5400000" scaled="1"/>
              </a:gradFill>
              <a:ln w="19050">
                <a:noFill/>
              </a:ln>
              <a:effectLst/>
            </c:spPr>
            <c:extLst>
              <c:ext xmlns:c16="http://schemas.microsoft.com/office/drawing/2014/chart" uri="{C3380CC4-5D6E-409C-BE32-E72D297353CC}">
                <c16:uniqueId val="{0000001B-37A3-48AF-BD90-34DABBECA85B}"/>
              </c:ext>
            </c:extLst>
          </c:dPt>
          <c:dPt>
            <c:idx val="1"/>
            <c:bubble3D val="0"/>
            <c:spPr>
              <a:gradFill>
                <a:gsLst>
                  <a:gs pos="0">
                    <a:srgbClr val="4355D9"/>
                  </a:gs>
                  <a:gs pos="60000">
                    <a:srgbClr val="00B0F0"/>
                  </a:gs>
                </a:gsLst>
                <a:lin ang="1800000" scaled="0"/>
              </a:gradFill>
              <a:ln w="19050">
                <a:noFill/>
              </a:ln>
              <a:effectLst/>
            </c:spPr>
            <c:extLst>
              <c:ext xmlns:c16="http://schemas.microsoft.com/office/drawing/2014/chart" uri="{C3380CC4-5D6E-409C-BE32-E72D297353CC}">
                <c16:uniqueId val="{0000001D-37A3-48AF-BD90-34DABBECA85B}"/>
              </c:ext>
            </c:extLst>
          </c:dPt>
          <c:dPt>
            <c:idx val="2"/>
            <c:bubble3D val="0"/>
            <c:spPr>
              <a:gradFill>
                <a:gsLst>
                  <a:gs pos="0">
                    <a:srgbClr val="4355D9"/>
                  </a:gs>
                  <a:gs pos="60000">
                    <a:srgbClr val="3366FF"/>
                  </a:gs>
                </a:gsLst>
                <a:lin ang="1800000" scaled="0"/>
              </a:gradFill>
              <a:ln w="19050">
                <a:noFill/>
              </a:ln>
              <a:effectLst/>
            </c:spPr>
            <c:extLst>
              <c:ext xmlns:c16="http://schemas.microsoft.com/office/drawing/2014/chart" uri="{C3380CC4-5D6E-409C-BE32-E72D297353CC}">
                <c16:uniqueId val="{0000001F-37A3-48AF-BD90-34DABBECA85B}"/>
              </c:ext>
            </c:extLst>
          </c:dPt>
          <c:dPt>
            <c:idx val="3"/>
            <c:bubble3D val="0"/>
            <c:spPr>
              <a:noFill/>
              <a:ln w="19050">
                <a:noFill/>
              </a:ln>
              <a:effectLst/>
            </c:spPr>
            <c:extLst>
              <c:ext xmlns:c16="http://schemas.microsoft.com/office/drawing/2014/chart" uri="{C3380CC4-5D6E-409C-BE32-E72D297353CC}">
                <c16:uniqueId val="{00000021-37A3-48AF-BD90-34DABBECA85B}"/>
              </c:ext>
            </c:extLst>
          </c:dPt>
          <c:dPt>
            <c:idx val="4"/>
            <c:bubble3D val="0"/>
            <c:spPr>
              <a:noFill/>
              <a:ln w="19050">
                <a:noFill/>
              </a:ln>
              <a:effectLst/>
            </c:spPr>
            <c:extLst>
              <c:ext xmlns:c16="http://schemas.microsoft.com/office/drawing/2014/chart" uri="{C3380CC4-5D6E-409C-BE32-E72D297353CC}">
                <c16:uniqueId val="{00000023-37A3-48AF-BD90-34DABBECA85B}"/>
              </c:ext>
            </c:extLst>
          </c:dPt>
          <c:dPt>
            <c:idx val="5"/>
            <c:bubble3D val="0"/>
            <c:spPr>
              <a:noFill/>
              <a:ln w="19050">
                <a:noFill/>
              </a:ln>
              <a:effectLst/>
            </c:spPr>
            <c:extLst>
              <c:ext xmlns:c16="http://schemas.microsoft.com/office/drawing/2014/chart" uri="{C3380CC4-5D6E-409C-BE32-E72D297353CC}">
                <c16:uniqueId val="{00000025-37A3-48AF-BD90-34DABBECA85B}"/>
              </c:ext>
            </c:extLst>
          </c:dPt>
          <c:cat>
            <c:strRef>
              <c:f>Processing!$M$25:$M$29</c:f>
              <c:strCache>
                <c:ptCount val="5"/>
                <c:pt idx="0">
                  <c:v>Business</c:v>
                </c:pt>
                <c:pt idx="1">
                  <c:v>Securities</c:v>
                </c:pt>
                <c:pt idx="2">
                  <c:v> Crypto</c:v>
                </c:pt>
                <c:pt idx="3">
                  <c:v>Rent</c:v>
                </c:pt>
                <c:pt idx="4">
                  <c:v>Gold</c:v>
                </c:pt>
              </c:strCache>
            </c:strRef>
          </c:cat>
          <c:val>
            <c:numRef>
              <c:f>Processing!$J$25:$J$30</c:f>
              <c:numCache>
                <c:formatCode>0%</c:formatCode>
                <c:ptCount val="6"/>
                <c:pt idx="0">
                  <c:v>0.20106524633821571</c:v>
                </c:pt>
                <c:pt idx="1">
                  <c:v>0.23861517976031954</c:v>
                </c:pt>
                <c:pt idx="2">
                  <c:v>0.17896138482023966</c:v>
                </c:pt>
                <c:pt idx="3">
                  <c:v>0.19573901464713714</c:v>
                </c:pt>
                <c:pt idx="4">
                  <c:v>0.18561917443408787</c:v>
                </c:pt>
                <c:pt idx="5">
                  <c:v>1</c:v>
                </c:pt>
              </c:numCache>
            </c:numRef>
          </c:val>
          <c:extLst>
            <c:ext xmlns:c16="http://schemas.microsoft.com/office/drawing/2014/chart" uri="{C3380CC4-5D6E-409C-BE32-E72D297353CC}">
              <c16:uniqueId val="{00000026-37A3-48AF-BD90-34DABBECA85B}"/>
            </c:ext>
          </c:extLst>
        </c:ser>
        <c:ser>
          <c:idx val="3"/>
          <c:order val="3"/>
          <c:spPr>
            <a:ln>
              <a:noFill/>
            </a:ln>
          </c:spPr>
          <c:dPt>
            <c:idx val="0"/>
            <c:bubble3D val="0"/>
            <c:spPr>
              <a:gradFill>
                <a:gsLst>
                  <a:gs pos="100000">
                    <a:srgbClr val="4355D9"/>
                  </a:gs>
                  <a:gs pos="43000">
                    <a:srgbClr val="8D76FC"/>
                  </a:gs>
                </a:gsLst>
                <a:lin ang="5400000" scaled="1"/>
              </a:gradFill>
              <a:ln w="19050">
                <a:noFill/>
              </a:ln>
              <a:effectLst/>
            </c:spPr>
            <c:extLst>
              <c:ext xmlns:c16="http://schemas.microsoft.com/office/drawing/2014/chart" uri="{C3380CC4-5D6E-409C-BE32-E72D297353CC}">
                <c16:uniqueId val="{00000028-37A3-48AF-BD90-34DABBECA85B}"/>
              </c:ext>
            </c:extLst>
          </c:dPt>
          <c:dPt>
            <c:idx val="1"/>
            <c:bubble3D val="0"/>
            <c:spPr>
              <a:gradFill>
                <a:gsLst>
                  <a:gs pos="0">
                    <a:srgbClr val="4355D9"/>
                  </a:gs>
                  <a:gs pos="60000">
                    <a:srgbClr val="00B0F0"/>
                  </a:gs>
                </a:gsLst>
                <a:lin ang="1800000" scaled="0"/>
              </a:gradFill>
              <a:ln w="19050">
                <a:noFill/>
              </a:ln>
              <a:effectLst/>
            </c:spPr>
            <c:extLst>
              <c:ext xmlns:c16="http://schemas.microsoft.com/office/drawing/2014/chart" uri="{C3380CC4-5D6E-409C-BE32-E72D297353CC}">
                <c16:uniqueId val="{0000002A-37A3-48AF-BD90-34DABBECA85B}"/>
              </c:ext>
            </c:extLst>
          </c:dPt>
          <c:dPt>
            <c:idx val="2"/>
            <c:bubble3D val="0"/>
            <c:spPr>
              <a:noFill/>
              <a:ln w="19050">
                <a:noFill/>
              </a:ln>
              <a:effectLst/>
            </c:spPr>
            <c:extLst>
              <c:ext xmlns:c16="http://schemas.microsoft.com/office/drawing/2014/chart" uri="{C3380CC4-5D6E-409C-BE32-E72D297353CC}">
                <c16:uniqueId val="{0000002C-37A3-48AF-BD90-34DABBECA85B}"/>
              </c:ext>
            </c:extLst>
          </c:dPt>
          <c:dPt>
            <c:idx val="3"/>
            <c:bubble3D val="0"/>
            <c:spPr>
              <a:noFill/>
              <a:ln w="19050">
                <a:noFill/>
              </a:ln>
              <a:effectLst/>
            </c:spPr>
            <c:extLst>
              <c:ext xmlns:c16="http://schemas.microsoft.com/office/drawing/2014/chart" uri="{C3380CC4-5D6E-409C-BE32-E72D297353CC}">
                <c16:uniqueId val="{0000002E-37A3-48AF-BD90-34DABBECA85B}"/>
              </c:ext>
            </c:extLst>
          </c:dPt>
          <c:dPt>
            <c:idx val="4"/>
            <c:bubble3D val="0"/>
            <c:spPr>
              <a:noFill/>
              <a:ln w="19050">
                <a:noFill/>
              </a:ln>
              <a:effectLst/>
            </c:spPr>
            <c:extLst>
              <c:ext xmlns:c16="http://schemas.microsoft.com/office/drawing/2014/chart" uri="{C3380CC4-5D6E-409C-BE32-E72D297353CC}">
                <c16:uniqueId val="{00000030-37A3-48AF-BD90-34DABBECA85B}"/>
              </c:ext>
            </c:extLst>
          </c:dPt>
          <c:dPt>
            <c:idx val="5"/>
            <c:bubble3D val="0"/>
            <c:spPr>
              <a:noFill/>
              <a:ln w="19050">
                <a:noFill/>
              </a:ln>
              <a:effectLst/>
            </c:spPr>
            <c:extLst>
              <c:ext xmlns:c16="http://schemas.microsoft.com/office/drawing/2014/chart" uri="{C3380CC4-5D6E-409C-BE32-E72D297353CC}">
                <c16:uniqueId val="{00000032-37A3-48AF-BD90-34DABBECA85B}"/>
              </c:ext>
            </c:extLst>
          </c:dPt>
          <c:cat>
            <c:strRef>
              <c:f>Processing!$M$25:$M$29</c:f>
              <c:strCache>
                <c:ptCount val="5"/>
                <c:pt idx="0">
                  <c:v>Business</c:v>
                </c:pt>
                <c:pt idx="1">
                  <c:v>Securities</c:v>
                </c:pt>
                <c:pt idx="2">
                  <c:v> Crypto</c:v>
                </c:pt>
                <c:pt idx="3">
                  <c:v>Rent</c:v>
                </c:pt>
                <c:pt idx="4">
                  <c:v>Gold</c:v>
                </c:pt>
              </c:strCache>
            </c:strRef>
          </c:cat>
          <c:val>
            <c:numRef>
              <c:f>Processing!$K$25:$K$30</c:f>
              <c:numCache>
                <c:formatCode>0%</c:formatCode>
                <c:ptCount val="6"/>
                <c:pt idx="0">
                  <c:v>0.20106524633821571</c:v>
                </c:pt>
                <c:pt idx="1">
                  <c:v>0.23861517976031954</c:v>
                </c:pt>
                <c:pt idx="2">
                  <c:v>0.17896138482023966</c:v>
                </c:pt>
                <c:pt idx="3">
                  <c:v>0.19573901464713714</c:v>
                </c:pt>
                <c:pt idx="4">
                  <c:v>0.18561917443408787</c:v>
                </c:pt>
                <c:pt idx="5">
                  <c:v>1</c:v>
                </c:pt>
              </c:numCache>
            </c:numRef>
          </c:val>
          <c:extLst>
            <c:ext xmlns:c16="http://schemas.microsoft.com/office/drawing/2014/chart" uri="{C3380CC4-5D6E-409C-BE32-E72D297353CC}">
              <c16:uniqueId val="{00000033-37A3-48AF-BD90-34DABBECA85B}"/>
            </c:ext>
          </c:extLst>
        </c:ser>
        <c:ser>
          <c:idx val="4"/>
          <c:order val="4"/>
          <c:spPr>
            <a:ln>
              <a:noFill/>
            </a:ln>
          </c:spPr>
          <c:dPt>
            <c:idx val="0"/>
            <c:bubble3D val="0"/>
            <c:spPr>
              <a:gradFill>
                <a:gsLst>
                  <a:gs pos="100000">
                    <a:srgbClr val="4355D9"/>
                  </a:gs>
                  <a:gs pos="43000">
                    <a:srgbClr val="8D76FC"/>
                  </a:gs>
                </a:gsLst>
                <a:lin ang="5400000" scaled="1"/>
              </a:gradFill>
              <a:ln w="19050">
                <a:noFill/>
              </a:ln>
              <a:effectLst/>
            </c:spPr>
            <c:extLst>
              <c:ext xmlns:c16="http://schemas.microsoft.com/office/drawing/2014/chart" uri="{C3380CC4-5D6E-409C-BE32-E72D297353CC}">
                <c16:uniqueId val="{00000035-37A3-48AF-BD90-34DABBECA85B}"/>
              </c:ext>
            </c:extLst>
          </c:dPt>
          <c:dPt>
            <c:idx val="1"/>
            <c:bubble3D val="0"/>
            <c:spPr>
              <a:noFill/>
              <a:ln w="19050">
                <a:noFill/>
              </a:ln>
              <a:effectLst/>
            </c:spPr>
            <c:extLst>
              <c:ext xmlns:c16="http://schemas.microsoft.com/office/drawing/2014/chart" uri="{C3380CC4-5D6E-409C-BE32-E72D297353CC}">
                <c16:uniqueId val="{00000037-37A3-48AF-BD90-34DABBECA85B}"/>
              </c:ext>
            </c:extLst>
          </c:dPt>
          <c:dPt>
            <c:idx val="2"/>
            <c:bubble3D val="0"/>
            <c:spPr>
              <a:noFill/>
              <a:ln w="19050">
                <a:noFill/>
              </a:ln>
              <a:effectLst/>
            </c:spPr>
            <c:extLst>
              <c:ext xmlns:c16="http://schemas.microsoft.com/office/drawing/2014/chart" uri="{C3380CC4-5D6E-409C-BE32-E72D297353CC}">
                <c16:uniqueId val="{00000039-37A3-48AF-BD90-34DABBECA85B}"/>
              </c:ext>
            </c:extLst>
          </c:dPt>
          <c:dPt>
            <c:idx val="3"/>
            <c:bubble3D val="0"/>
            <c:spPr>
              <a:noFill/>
              <a:ln w="19050">
                <a:noFill/>
              </a:ln>
              <a:effectLst/>
            </c:spPr>
            <c:extLst>
              <c:ext xmlns:c16="http://schemas.microsoft.com/office/drawing/2014/chart" uri="{C3380CC4-5D6E-409C-BE32-E72D297353CC}">
                <c16:uniqueId val="{0000003B-37A3-48AF-BD90-34DABBECA85B}"/>
              </c:ext>
            </c:extLst>
          </c:dPt>
          <c:dPt>
            <c:idx val="4"/>
            <c:bubble3D val="0"/>
            <c:spPr>
              <a:noFill/>
              <a:ln w="19050">
                <a:noFill/>
              </a:ln>
              <a:effectLst/>
            </c:spPr>
            <c:extLst>
              <c:ext xmlns:c16="http://schemas.microsoft.com/office/drawing/2014/chart" uri="{C3380CC4-5D6E-409C-BE32-E72D297353CC}">
                <c16:uniqueId val="{0000003D-37A3-48AF-BD90-34DABBECA85B}"/>
              </c:ext>
            </c:extLst>
          </c:dPt>
          <c:dPt>
            <c:idx val="5"/>
            <c:bubble3D val="0"/>
            <c:spPr>
              <a:noFill/>
              <a:ln w="19050">
                <a:noFill/>
              </a:ln>
              <a:effectLst/>
            </c:spPr>
            <c:extLst>
              <c:ext xmlns:c16="http://schemas.microsoft.com/office/drawing/2014/chart" uri="{C3380CC4-5D6E-409C-BE32-E72D297353CC}">
                <c16:uniqueId val="{0000003F-37A3-48AF-BD90-34DABBECA85B}"/>
              </c:ext>
            </c:extLst>
          </c:dPt>
          <c:cat>
            <c:strRef>
              <c:f>Processing!$M$25:$M$29</c:f>
              <c:strCache>
                <c:ptCount val="5"/>
                <c:pt idx="0">
                  <c:v>Business</c:v>
                </c:pt>
                <c:pt idx="1">
                  <c:v>Securities</c:v>
                </c:pt>
                <c:pt idx="2">
                  <c:v> Crypto</c:v>
                </c:pt>
                <c:pt idx="3">
                  <c:v>Rent</c:v>
                </c:pt>
                <c:pt idx="4">
                  <c:v>Gold</c:v>
                </c:pt>
              </c:strCache>
            </c:strRef>
          </c:cat>
          <c:val>
            <c:numRef>
              <c:f>Processing!$L$25:$L$30</c:f>
              <c:numCache>
                <c:formatCode>0%</c:formatCode>
                <c:ptCount val="6"/>
                <c:pt idx="0">
                  <c:v>0.20106524633821571</c:v>
                </c:pt>
                <c:pt idx="1">
                  <c:v>0.23861517976031954</c:v>
                </c:pt>
                <c:pt idx="2">
                  <c:v>0.17896138482023966</c:v>
                </c:pt>
                <c:pt idx="3">
                  <c:v>0.19573901464713714</c:v>
                </c:pt>
                <c:pt idx="4">
                  <c:v>0.18561917443408787</c:v>
                </c:pt>
                <c:pt idx="5">
                  <c:v>1</c:v>
                </c:pt>
              </c:numCache>
            </c:numRef>
          </c:val>
          <c:extLst>
            <c:ext xmlns:c16="http://schemas.microsoft.com/office/drawing/2014/chart" uri="{C3380CC4-5D6E-409C-BE32-E72D297353CC}">
              <c16:uniqueId val="{00000040-37A3-48AF-BD90-34DABBECA85B}"/>
            </c:ext>
          </c:extLst>
        </c:ser>
        <c:dLbls>
          <c:showLegendKey val="0"/>
          <c:showVal val="0"/>
          <c:showCatName val="0"/>
          <c:showSerName val="0"/>
          <c:showPercent val="0"/>
          <c:showBubbleSize val="0"/>
          <c:showLeaderLines val="1"/>
        </c:dLbls>
        <c:firstSliceAng val="270"/>
        <c:holeSize val="30"/>
      </c:doughnutChart>
      <c:spPr>
        <a:noFill/>
        <a:ln>
          <a:noFill/>
        </a:ln>
        <a:effectLst/>
      </c:spPr>
    </c:plotArea>
    <c:legend>
      <c:legendPos val="b"/>
      <c:layout>
        <c:manualLayout>
          <c:xMode val="edge"/>
          <c:yMode val="edge"/>
          <c:x val="0.21048884514435695"/>
          <c:y val="0.47743000874890645"/>
          <c:w val="0.62095130378447239"/>
          <c:h val="7.9272442659769973E-2"/>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83332427709685"/>
          <c:y val="8.98936873742925E-2"/>
          <c:w val="0.70748097112860897"/>
          <c:h val="0.89814814814814814"/>
        </c:manualLayout>
      </c:layout>
      <c:scatterChart>
        <c:scatterStyle val="lineMarker"/>
        <c:varyColors val="0"/>
        <c:ser>
          <c:idx val="0"/>
          <c:order val="0"/>
          <c:tx>
            <c:strRef>
              <c:f>Processing!$M$16</c:f>
              <c:strCache>
                <c:ptCount val="1"/>
                <c:pt idx="0">
                  <c:v>Mortgage</c:v>
                </c:pt>
              </c:strCache>
            </c:strRef>
          </c:tx>
          <c:spPr>
            <a:ln w="25400" cap="rnd">
              <a:noFill/>
              <a:round/>
            </a:ln>
            <a:effectLst/>
          </c:spPr>
          <c:marker>
            <c:symbol val="circle"/>
            <c:size val="25"/>
            <c:spPr>
              <a:solidFill>
                <a:srgbClr val="00B0F0">
                  <a:alpha val="50000"/>
                </a:srgbClr>
              </a:solidFill>
              <a:ln w="9525">
                <a:solidFill>
                  <a:srgbClr val="00B0F0"/>
                </a:solidFill>
              </a:ln>
              <a:effectLst/>
            </c:spPr>
          </c:marker>
          <c:dPt>
            <c:idx val="0"/>
            <c:marker>
              <c:symbol val="circle"/>
              <c:size val="25"/>
              <c:spPr>
                <a:solidFill>
                  <a:srgbClr val="00B0F0">
                    <a:alpha val="50000"/>
                  </a:srgbClr>
                </a:solidFill>
                <a:ln w="9525">
                  <a:solidFill>
                    <a:srgbClr val="00B0F0"/>
                  </a:solidFill>
                </a:ln>
                <a:effectLst/>
              </c:spPr>
            </c:marker>
            <c:bubble3D val="0"/>
            <c:extLst>
              <c:ext xmlns:c16="http://schemas.microsoft.com/office/drawing/2014/chart" uri="{C3380CC4-5D6E-409C-BE32-E72D297353CC}">
                <c16:uniqueId val="{00000000-8139-46D0-AAF1-634592D21DFB}"/>
              </c:ext>
            </c:extLst>
          </c:dPt>
          <c:xVal>
            <c:numRef>
              <c:f>Processing!$N$16</c:f>
              <c:numCache>
                <c:formatCode>0%</c:formatCode>
                <c:ptCount val="1"/>
                <c:pt idx="0">
                  <c:v>0.03</c:v>
                </c:pt>
              </c:numCache>
            </c:numRef>
          </c:xVal>
          <c:yVal>
            <c:numRef>
              <c:f>Processing!$O$16</c:f>
              <c:numCache>
                <c:formatCode>_("$"* #,##0.00_);_("$"* \(#,##0.00\);_("$"* "-"??_);_(@_)</c:formatCode>
                <c:ptCount val="1"/>
                <c:pt idx="0">
                  <c:v>27.35483870967742</c:v>
                </c:pt>
              </c:numCache>
            </c:numRef>
          </c:yVal>
          <c:smooth val="0"/>
          <c:extLst>
            <c:ext xmlns:c16="http://schemas.microsoft.com/office/drawing/2014/chart" uri="{C3380CC4-5D6E-409C-BE32-E72D297353CC}">
              <c16:uniqueId val="{00000001-8139-46D0-AAF1-634592D21DFB}"/>
            </c:ext>
          </c:extLst>
        </c:ser>
        <c:ser>
          <c:idx val="1"/>
          <c:order val="1"/>
          <c:tx>
            <c:strRef>
              <c:f>Processing!$M$17</c:f>
              <c:strCache>
                <c:ptCount val="1"/>
                <c:pt idx="0">
                  <c:v>Car Leasing</c:v>
                </c:pt>
              </c:strCache>
            </c:strRef>
          </c:tx>
          <c:spPr>
            <a:ln w="25400" cap="rnd">
              <a:noFill/>
              <a:round/>
            </a:ln>
            <a:effectLst/>
          </c:spPr>
          <c:marker>
            <c:symbol val="circle"/>
            <c:size val="17"/>
            <c:spPr>
              <a:solidFill>
                <a:srgbClr val="3366FF">
                  <a:alpha val="50000"/>
                </a:srgbClr>
              </a:solidFill>
              <a:ln w="9525">
                <a:solidFill>
                  <a:srgbClr val="3366FF">
                    <a:alpha val="50000"/>
                  </a:srgbClr>
                </a:solidFill>
              </a:ln>
              <a:effectLst/>
            </c:spPr>
          </c:marker>
          <c:xVal>
            <c:numRef>
              <c:f>Processing!$N$17</c:f>
              <c:numCache>
                <c:formatCode>0%</c:formatCode>
                <c:ptCount val="1"/>
                <c:pt idx="0">
                  <c:v>0.1</c:v>
                </c:pt>
              </c:numCache>
            </c:numRef>
          </c:xVal>
          <c:yVal>
            <c:numRef>
              <c:f>Processing!$O$17</c:f>
              <c:numCache>
                <c:formatCode>_("$"* #,##0.00_);_("$"* \(#,##0.00\);_("$"* "-"??_);_(@_)</c:formatCode>
                <c:ptCount val="1"/>
                <c:pt idx="0">
                  <c:v>19</c:v>
                </c:pt>
              </c:numCache>
            </c:numRef>
          </c:yVal>
          <c:smooth val="0"/>
          <c:extLst>
            <c:ext xmlns:c16="http://schemas.microsoft.com/office/drawing/2014/chart" uri="{C3380CC4-5D6E-409C-BE32-E72D297353CC}">
              <c16:uniqueId val="{00000002-8139-46D0-AAF1-634592D21DFB}"/>
            </c:ext>
          </c:extLst>
        </c:ser>
        <c:ser>
          <c:idx val="2"/>
          <c:order val="2"/>
          <c:tx>
            <c:strRef>
              <c:f>Processing!$M$18</c:f>
              <c:strCache>
                <c:ptCount val="1"/>
                <c:pt idx="0">
                  <c:v>Consumer Credit</c:v>
                </c:pt>
              </c:strCache>
            </c:strRef>
          </c:tx>
          <c:spPr>
            <a:ln w="25400" cap="rnd">
              <a:noFill/>
              <a:round/>
            </a:ln>
            <a:effectLst/>
          </c:spPr>
          <c:marker>
            <c:symbol val="circle"/>
            <c:size val="30"/>
            <c:spPr>
              <a:solidFill>
                <a:srgbClr val="8D76FC">
                  <a:alpha val="50000"/>
                </a:srgbClr>
              </a:solidFill>
              <a:ln w="9525">
                <a:solidFill>
                  <a:srgbClr val="8D76FC"/>
                </a:solidFill>
              </a:ln>
              <a:effectLst/>
            </c:spPr>
          </c:marker>
          <c:xVal>
            <c:numRef>
              <c:f>Processing!$N$18</c:f>
              <c:numCache>
                <c:formatCode>0%</c:formatCode>
                <c:ptCount val="1"/>
                <c:pt idx="0">
                  <c:v>0.05</c:v>
                </c:pt>
              </c:numCache>
            </c:numRef>
          </c:xVal>
          <c:yVal>
            <c:numRef>
              <c:f>Processing!$O$18</c:f>
              <c:numCache>
                <c:formatCode>_("$"* #,##0.00_);_("$"* \(#,##0.00\);_("$"* "-"??_);_(@_)</c:formatCode>
                <c:ptCount val="1"/>
                <c:pt idx="0">
                  <c:v>22.741935483870968</c:v>
                </c:pt>
              </c:numCache>
            </c:numRef>
          </c:yVal>
          <c:smooth val="0"/>
          <c:extLst>
            <c:ext xmlns:c16="http://schemas.microsoft.com/office/drawing/2014/chart" uri="{C3380CC4-5D6E-409C-BE32-E72D297353CC}">
              <c16:uniqueId val="{00000003-8139-46D0-AAF1-634592D21DFB}"/>
            </c:ext>
          </c:extLst>
        </c:ser>
        <c:ser>
          <c:idx val="3"/>
          <c:order val="3"/>
          <c:tx>
            <c:strRef>
              <c:f>Processing!$M$19</c:f>
              <c:strCache>
                <c:ptCount val="1"/>
                <c:pt idx="0">
                  <c:v>Credit Card</c:v>
                </c:pt>
              </c:strCache>
            </c:strRef>
          </c:tx>
          <c:spPr>
            <a:ln w="25400" cap="rnd">
              <a:noFill/>
              <a:round/>
            </a:ln>
            <a:effectLst/>
          </c:spPr>
          <c:marker>
            <c:symbol val="circle"/>
            <c:size val="20"/>
            <c:spPr>
              <a:solidFill>
                <a:srgbClr val="AD27FE">
                  <a:alpha val="50000"/>
                </a:srgbClr>
              </a:solidFill>
              <a:ln w="9525">
                <a:solidFill>
                  <a:srgbClr val="AD27FE"/>
                </a:solidFill>
              </a:ln>
              <a:effectLst/>
            </c:spPr>
          </c:marker>
          <c:xVal>
            <c:numRef>
              <c:f>Processing!$N$19</c:f>
              <c:numCache>
                <c:formatCode>0%</c:formatCode>
                <c:ptCount val="1"/>
                <c:pt idx="0">
                  <c:v>7.0000000000000007E-2</c:v>
                </c:pt>
              </c:numCache>
            </c:numRef>
          </c:xVal>
          <c:yVal>
            <c:numRef>
              <c:f>Processing!$O$19</c:f>
              <c:numCache>
                <c:formatCode>_("$"* #,##0.00_);_("$"* \(#,##0.00\);_("$"* "-"??_);_(@_)</c:formatCode>
                <c:ptCount val="1"/>
                <c:pt idx="0">
                  <c:v>26.322580645161292</c:v>
                </c:pt>
              </c:numCache>
            </c:numRef>
          </c:yVal>
          <c:smooth val="0"/>
          <c:extLst>
            <c:ext xmlns:c16="http://schemas.microsoft.com/office/drawing/2014/chart" uri="{C3380CC4-5D6E-409C-BE32-E72D297353CC}">
              <c16:uniqueId val="{00000004-8139-46D0-AAF1-634592D21DFB}"/>
            </c:ext>
          </c:extLst>
        </c:ser>
        <c:ser>
          <c:idx val="4"/>
          <c:order val="4"/>
          <c:spPr>
            <a:ln w="25400" cap="rnd">
              <a:noFill/>
              <a:round/>
            </a:ln>
            <a:effectLst>
              <a:outerShdw blurRad="50800" dist="38100" dir="8100000" algn="tr" rotWithShape="0">
                <a:prstClr val="black">
                  <a:alpha val="40000"/>
                </a:prstClr>
              </a:outerShdw>
            </a:effectLst>
          </c:spPr>
          <c:marker>
            <c:symbol val="circle"/>
            <c:size val="7"/>
            <c:spPr>
              <a:solidFill>
                <a:srgbClr val="00B0F0"/>
              </a:solidFill>
              <a:ln w="9525">
                <a:noFill/>
              </a:ln>
              <a:effectLst>
                <a:outerShdw blurRad="50800" dist="38100" dir="8100000" algn="tr" rotWithShape="0">
                  <a:prstClr val="black">
                    <a:alpha val="40000"/>
                  </a:prstClr>
                </a:outerShdw>
              </a:effectLst>
            </c:spPr>
          </c:marker>
          <c:xVal>
            <c:numRef>
              <c:f>Processing!$N$16</c:f>
              <c:numCache>
                <c:formatCode>0%</c:formatCode>
                <c:ptCount val="1"/>
                <c:pt idx="0">
                  <c:v>0.03</c:v>
                </c:pt>
              </c:numCache>
            </c:numRef>
          </c:xVal>
          <c:yVal>
            <c:numRef>
              <c:f>Processing!$O$16</c:f>
              <c:numCache>
                <c:formatCode>_("$"* #,##0.00_);_("$"* \(#,##0.00\);_("$"* "-"??_);_(@_)</c:formatCode>
                <c:ptCount val="1"/>
                <c:pt idx="0">
                  <c:v>27.35483870967742</c:v>
                </c:pt>
              </c:numCache>
            </c:numRef>
          </c:yVal>
          <c:smooth val="0"/>
          <c:extLst>
            <c:ext xmlns:c16="http://schemas.microsoft.com/office/drawing/2014/chart" uri="{C3380CC4-5D6E-409C-BE32-E72D297353CC}">
              <c16:uniqueId val="{00000005-8139-46D0-AAF1-634592D21DFB}"/>
            </c:ext>
          </c:extLst>
        </c:ser>
        <c:ser>
          <c:idx val="5"/>
          <c:order val="5"/>
          <c:spPr>
            <a:ln w="25400" cap="rnd">
              <a:noFill/>
              <a:round/>
            </a:ln>
            <a:effectLst>
              <a:outerShdw blurRad="50800" dist="38100" dir="8100000" algn="tr" rotWithShape="0">
                <a:prstClr val="black">
                  <a:alpha val="40000"/>
                </a:prstClr>
              </a:outerShdw>
            </a:effectLst>
          </c:spPr>
          <c:marker>
            <c:symbol val="circle"/>
            <c:size val="6"/>
            <c:spPr>
              <a:solidFill>
                <a:srgbClr val="3366FF"/>
              </a:solidFill>
              <a:ln w="9525">
                <a:noFill/>
              </a:ln>
              <a:effectLst>
                <a:outerShdw blurRad="50800" dist="38100" dir="8100000" algn="tr" rotWithShape="0">
                  <a:prstClr val="black">
                    <a:alpha val="40000"/>
                  </a:prstClr>
                </a:outerShdw>
              </a:effectLst>
            </c:spPr>
          </c:marker>
          <c:xVal>
            <c:numRef>
              <c:f>Processing!$N$17</c:f>
              <c:numCache>
                <c:formatCode>0%</c:formatCode>
                <c:ptCount val="1"/>
                <c:pt idx="0">
                  <c:v>0.1</c:v>
                </c:pt>
              </c:numCache>
            </c:numRef>
          </c:xVal>
          <c:yVal>
            <c:numRef>
              <c:f>Processing!$O$17</c:f>
              <c:numCache>
                <c:formatCode>_("$"* #,##0.00_);_("$"* \(#,##0.00\);_("$"* "-"??_);_(@_)</c:formatCode>
                <c:ptCount val="1"/>
                <c:pt idx="0">
                  <c:v>19</c:v>
                </c:pt>
              </c:numCache>
            </c:numRef>
          </c:yVal>
          <c:smooth val="0"/>
          <c:extLst>
            <c:ext xmlns:c16="http://schemas.microsoft.com/office/drawing/2014/chart" uri="{C3380CC4-5D6E-409C-BE32-E72D297353CC}">
              <c16:uniqueId val="{00000006-8139-46D0-AAF1-634592D21DFB}"/>
            </c:ext>
          </c:extLst>
        </c:ser>
        <c:ser>
          <c:idx val="6"/>
          <c:order val="6"/>
          <c:spPr>
            <a:ln w="25400" cap="rnd">
              <a:noFill/>
              <a:round/>
            </a:ln>
            <a:effectLst>
              <a:outerShdw blurRad="50800" dist="38100" dir="8100000" algn="tr" rotWithShape="0">
                <a:prstClr val="black">
                  <a:alpha val="40000"/>
                </a:prstClr>
              </a:outerShdw>
            </a:effectLst>
          </c:spPr>
          <c:marker>
            <c:symbol val="circle"/>
            <c:size val="9"/>
            <c:spPr>
              <a:solidFill>
                <a:srgbClr val="8D76FC"/>
              </a:solidFill>
              <a:ln w="9525">
                <a:noFill/>
              </a:ln>
              <a:effectLst>
                <a:outerShdw blurRad="50800" dist="38100" dir="8100000" algn="tr" rotWithShape="0">
                  <a:prstClr val="black">
                    <a:alpha val="40000"/>
                  </a:prstClr>
                </a:outerShdw>
              </a:effectLst>
            </c:spPr>
          </c:marker>
          <c:xVal>
            <c:numRef>
              <c:f>Processing!$N$18</c:f>
              <c:numCache>
                <c:formatCode>0%</c:formatCode>
                <c:ptCount val="1"/>
                <c:pt idx="0">
                  <c:v>0.05</c:v>
                </c:pt>
              </c:numCache>
            </c:numRef>
          </c:xVal>
          <c:yVal>
            <c:numRef>
              <c:f>Processing!$O$18</c:f>
              <c:numCache>
                <c:formatCode>_("$"* #,##0.00_);_("$"* \(#,##0.00\);_("$"* "-"??_);_(@_)</c:formatCode>
                <c:ptCount val="1"/>
                <c:pt idx="0">
                  <c:v>22.741935483870968</c:v>
                </c:pt>
              </c:numCache>
            </c:numRef>
          </c:yVal>
          <c:smooth val="0"/>
          <c:extLst>
            <c:ext xmlns:c16="http://schemas.microsoft.com/office/drawing/2014/chart" uri="{C3380CC4-5D6E-409C-BE32-E72D297353CC}">
              <c16:uniqueId val="{00000007-8139-46D0-AAF1-634592D21DFB}"/>
            </c:ext>
          </c:extLst>
        </c:ser>
        <c:ser>
          <c:idx val="7"/>
          <c:order val="7"/>
          <c:spPr>
            <a:ln w="25400" cap="rnd">
              <a:noFill/>
              <a:round/>
            </a:ln>
            <a:effectLst>
              <a:outerShdw blurRad="50800" dist="38100" dir="8100000" algn="tr" rotWithShape="0">
                <a:prstClr val="black">
                  <a:alpha val="40000"/>
                </a:prstClr>
              </a:outerShdw>
            </a:effectLst>
          </c:spPr>
          <c:marker>
            <c:symbol val="circle"/>
            <c:size val="8"/>
            <c:spPr>
              <a:solidFill>
                <a:srgbClr val="AD27FE"/>
              </a:solidFill>
              <a:ln w="9525">
                <a:noFill/>
              </a:ln>
              <a:effectLst>
                <a:outerShdw blurRad="50800" dist="38100" dir="8100000" algn="tr" rotWithShape="0">
                  <a:prstClr val="black">
                    <a:alpha val="40000"/>
                  </a:prstClr>
                </a:outerShdw>
              </a:effectLst>
            </c:spPr>
          </c:marker>
          <c:xVal>
            <c:numRef>
              <c:f>Processing!$N$19</c:f>
              <c:numCache>
                <c:formatCode>0%</c:formatCode>
                <c:ptCount val="1"/>
                <c:pt idx="0">
                  <c:v>7.0000000000000007E-2</c:v>
                </c:pt>
              </c:numCache>
            </c:numRef>
          </c:xVal>
          <c:yVal>
            <c:numRef>
              <c:f>Processing!$O$19</c:f>
              <c:numCache>
                <c:formatCode>_("$"* #,##0.00_);_("$"* \(#,##0.00\);_("$"* "-"??_);_(@_)</c:formatCode>
                <c:ptCount val="1"/>
                <c:pt idx="0">
                  <c:v>26.322580645161292</c:v>
                </c:pt>
              </c:numCache>
            </c:numRef>
          </c:yVal>
          <c:smooth val="0"/>
          <c:extLst>
            <c:ext xmlns:c16="http://schemas.microsoft.com/office/drawing/2014/chart" uri="{C3380CC4-5D6E-409C-BE32-E72D297353CC}">
              <c16:uniqueId val="{00000008-8139-46D0-AAF1-634592D21DFB}"/>
            </c:ext>
          </c:extLst>
        </c:ser>
        <c:dLbls>
          <c:showLegendKey val="0"/>
          <c:showVal val="0"/>
          <c:showCatName val="0"/>
          <c:showSerName val="0"/>
          <c:showPercent val="0"/>
          <c:showBubbleSize val="0"/>
        </c:dLbls>
        <c:axId val="860280560"/>
        <c:axId val="860281640"/>
      </c:scatterChart>
      <c:valAx>
        <c:axId val="860280560"/>
        <c:scaling>
          <c:orientation val="minMax"/>
        </c:scaling>
        <c:delete val="1"/>
        <c:axPos val="b"/>
        <c:numFmt formatCode="0%" sourceLinked="1"/>
        <c:majorTickMark val="none"/>
        <c:minorTickMark val="none"/>
        <c:tickLblPos val="nextTo"/>
        <c:crossAx val="860281640"/>
        <c:crosses val="autoZero"/>
        <c:crossBetween val="midCat"/>
      </c:valAx>
      <c:valAx>
        <c:axId val="860281640"/>
        <c:scaling>
          <c:orientation val="minMax"/>
        </c:scaling>
        <c:delete val="1"/>
        <c:axPos val="l"/>
        <c:numFmt formatCode="_(&quot;$&quot;* #,##0.00_);_(&quot;$&quot;* \(#,##0.00\);_(&quot;$&quot;* &quot;-&quot;??_);_(@_)" sourceLinked="1"/>
        <c:majorTickMark val="none"/>
        <c:minorTickMark val="none"/>
        <c:tickLblPos val="nextTo"/>
        <c:crossAx val="860280560"/>
        <c:crosses val="autoZero"/>
        <c:crossBetween val="midCat"/>
      </c:valAx>
      <c:spPr>
        <a:noFill/>
        <a:ln>
          <a:noFill/>
        </a:ln>
        <a:effectLst/>
      </c:spPr>
    </c:plotArea>
    <c:legend>
      <c:legendPos val="r"/>
      <c:legendEntry>
        <c:idx val="4"/>
        <c:delete val="1"/>
      </c:legendEntry>
      <c:legendEntry>
        <c:idx val="5"/>
        <c:delete val="1"/>
      </c:legendEntry>
      <c:legendEntry>
        <c:idx val="6"/>
        <c:delete val="1"/>
      </c:legendEntry>
      <c:legendEntry>
        <c:idx val="7"/>
        <c:delete val="1"/>
      </c:legendEntry>
      <c:layout>
        <c:manualLayout>
          <c:xMode val="edge"/>
          <c:yMode val="edge"/>
          <c:x val="0.68829910036045161"/>
          <c:y val="0.23612532533586428"/>
          <c:w val="0.27517688935191215"/>
          <c:h val="0.762733579925402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681398985485299"/>
          <c:y val="5.6584362139917695E-2"/>
          <c:w val="0.68654869648626216"/>
          <c:h val="0.88683127572016462"/>
        </c:manualLayout>
      </c:layout>
      <c:doughnutChart>
        <c:varyColors val="1"/>
        <c:ser>
          <c:idx val="0"/>
          <c:order val="0"/>
          <c:spPr>
            <a:ln>
              <a:noFill/>
            </a:ln>
          </c:spPr>
          <c:dPt>
            <c:idx val="0"/>
            <c:bubble3D val="0"/>
            <c:spPr>
              <a:gradFill>
                <a:gsLst>
                  <a:gs pos="0">
                    <a:srgbClr val="476BEE"/>
                  </a:gs>
                  <a:gs pos="100000">
                    <a:srgbClr val="3A5CE2"/>
                  </a:gs>
                </a:gsLst>
                <a:lin ang="5400000" scaled="0"/>
              </a:gradFill>
              <a:ln w="19050">
                <a:noFill/>
              </a:ln>
              <a:effectLst/>
            </c:spPr>
            <c:extLst>
              <c:ext xmlns:c16="http://schemas.microsoft.com/office/drawing/2014/chart" uri="{C3380CC4-5D6E-409C-BE32-E72D297353CC}">
                <c16:uniqueId val="{00000001-A658-4362-888B-AEB426FF3DEE}"/>
              </c:ext>
            </c:extLst>
          </c:dPt>
          <c:dPt>
            <c:idx val="1"/>
            <c:bubble3D val="0"/>
            <c:spPr>
              <a:solidFill>
                <a:srgbClr val="8199F3"/>
              </a:solidFill>
              <a:ln w="19050">
                <a:noFill/>
              </a:ln>
              <a:effectLst/>
            </c:spPr>
            <c:extLst>
              <c:ext xmlns:c16="http://schemas.microsoft.com/office/drawing/2014/chart" uri="{C3380CC4-5D6E-409C-BE32-E72D297353CC}">
                <c16:uniqueId val="{00000003-A658-4362-888B-AEB426FF3DEE}"/>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05-A658-4362-888B-AEB426FF3DEE}"/>
              </c:ext>
            </c:extLst>
          </c:dPt>
          <c:dPt>
            <c:idx val="3"/>
            <c:bubble3D val="0"/>
            <c:spPr>
              <a:noFill/>
              <a:ln w="19050">
                <a:noFill/>
              </a:ln>
              <a:effectLst/>
            </c:spPr>
            <c:extLst>
              <c:ext xmlns:c16="http://schemas.microsoft.com/office/drawing/2014/chart" uri="{C3380CC4-5D6E-409C-BE32-E72D297353CC}">
                <c16:uniqueId val="{00000007-A658-4362-888B-AEB426FF3DEE}"/>
              </c:ext>
            </c:extLst>
          </c:dPt>
          <c:val>
            <c:numRef>
              <c:f>Processing!$B$43:$B$46</c:f>
              <c:numCache>
                <c:formatCode>0%</c:formatCode>
                <c:ptCount val="4"/>
                <c:pt idx="0">
                  <c:v>0.26189516129032259</c:v>
                </c:pt>
                <c:pt idx="1">
                  <c:v>0.11310483870967741</c:v>
                </c:pt>
                <c:pt idx="2">
                  <c:v>0.375</c:v>
                </c:pt>
                <c:pt idx="3">
                  <c:v>0.25</c:v>
                </c:pt>
              </c:numCache>
            </c:numRef>
          </c:val>
          <c:extLst>
            <c:ext xmlns:c16="http://schemas.microsoft.com/office/drawing/2014/chart" uri="{C3380CC4-5D6E-409C-BE32-E72D297353CC}">
              <c16:uniqueId val="{00000008-A658-4362-888B-AEB426FF3DEE}"/>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A-A658-4362-888B-AEB426FF3DEE}"/>
              </c:ext>
            </c:extLst>
          </c:dPt>
          <c:dPt>
            <c:idx val="1"/>
            <c:bubble3D val="0"/>
            <c:spPr>
              <a:noFill/>
              <a:ln w="19050">
                <a:noFill/>
              </a:ln>
              <a:effectLst/>
            </c:spPr>
            <c:extLst>
              <c:ext xmlns:c16="http://schemas.microsoft.com/office/drawing/2014/chart" uri="{C3380CC4-5D6E-409C-BE32-E72D297353CC}">
                <c16:uniqueId val="{0000000C-A658-4362-888B-AEB426FF3DEE}"/>
              </c:ext>
            </c:extLst>
          </c:dPt>
          <c:dPt>
            <c:idx val="2"/>
            <c:bubble3D val="0"/>
            <c:spPr>
              <a:noFill/>
              <a:ln w="19050">
                <a:noFill/>
              </a:ln>
              <a:effectLst/>
            </c:spPr>
            <c:extLst>
              <c:ext xmlns:c16="http://schemas.microsoft.com/office/drawing/2014/chart" uri="{C3380CC4-5D6E-409C-BE32-E72D297353CC}">
                <c16:uniqueId val="{0000000E-A658-4362-888B-AEB426FF3DEE}"/>
              </c:ext>
            </c:extLst>
          </c:dPt>
          <c:dPt>
            <c:idx val="3"/>
            <c:bubble3D val="0"/>
            <c:spPr>
              <a:noFill/>
              <a:ln w="19050">
                <a:noFill/>
              </a:ln>
              <a:effectLst/>
            </c:spPr>
            <c:extLst>
              <c:ext xmlns:c16="http://schemas.microsoft.com/office/drawing/2014/chart" uri="{C3380CC4-5D6E-409C-BE32-E72D297353CC}">
                <c16:uniqueId val="{00000010-A658-4362-888B-AEB426FF3DEE}"/>
              </c:ext>
            </c:extLst>
          </c:dPt>
          <c:val>
            <c:numRef>
              <c:f>Processing!$C$43:$C$46</c:f>
              <c:numCache>
                <c:formatCode>0%</c:formatCode>
                <c:ptCount val="4"/>
                <c:pt idx="0">
                  <c:v>0.26189516129032259</c:v>
                </c:pt>
                <c:pt idx="1">
                  <c:v>0.11310483870967741</c:v>
                </c:pt>
                <c:pt idx="2">
                  <c:v>0.375</c:v>
                </c:pt>
                <c:pt idx="3">
                  <c:v>0.25</c:v>
                </c:pt>
              </c:numCache>
            </c:numRef>
          </c:val>
          <c:extLst>
            <c:ext xmlns:c16="http://schemas.microsoft.com/office/drawing/2014/chart" uri="{C3380CC4-5D6E-409C-BE32-E72D297353CC}">
              <c16:uniqueId val="{00000011-A658-4362-888B-AEB426FF3DEE}"/>
            </c:ext>
          </c:extLst>
        </c:ser>
        <c:ser>
          <c:idx val="2"/>
          <c:order val="2"/>
          <c:spPr>
            <a:ln>
              <a:noFill/>
            </a:ln>
          </c:spPr>
          <c:dPt>
            <c:idx val="0"/>
            <c:bubble3D val="0"/>
            <c:spPr>
              <a:gradFill>
                <a:gsLst>
                  <a:gs pos="0">
                    <a:srgbClr val="476BEE"/>
                  </a:gs>
                  <a:gs pos="100000">
                    <a:srgbClr val="3A5CE2"/>
                  </a:gs>
                </a:gsLst>
                <a:lin ang="5400000" scaled="0"/>
              </a:gradFill>
              <a:ln w="19050">
                <a:noFill/>
              </a:ln>
              <a:effectLst/>
            </c:spPr>
            <c:extLst>
              <c:ext xmlns:c16="http://schemas.microsoft.com/office/drawing/2014/chart" uri="{C3380CC4-5D6E-409C-BE32-E72D297353CC}">
                <c16:uniqueId val="{00000013-A658-4362-888B-AEB426FF3DEE}"/>
              </c:ext>
            </c:extLst>
          </c:dPt>
          <c:dPt>
            <c:idx val="1"/>
            <c:bubble3D val="0"/>
            <c:spPr>
              <a:solidFill>
                <a:srgbClr val="8199F3"/>
              </a:solidFill>
              <a:ln w="19050">
                <a:noFill/>
              </a:ln>
              <a:effectLst/>
            </c:spPr>
            <c:extLst>
              <c:ext xmlns:c16="http://schemas.microsoft.com/office/drawing/2014/chart" uri="{C3380CC4-5D6E-409C-BE32-E72D297353CC}">
                <c16:uniqueId val="{00000015-A658-4362-888B-AEB426FF3DEE}"/>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17-A658-4362-888B-AEB426FF3DEE}"/>
              </c:ext>
            </c:extLst>
          </c:dPt>
          <c:dPt>
            <c:idx val="3"/>
            <c:bubble3D val="0"/>
            <c:spPr>
              <a:noFill/>
              <a:ln w="19050">
                <a:noFill/>
              </a:ln>
              <a:effectLst/>
            </c:spPr>
            <c:extLst>
              <c:ext xmlns:c16="http://schemas.microsoft.com/office/drawing/2014/chart" uri="{C3380CC4-5D6E-409C-BE32-E72D297353CC}">
                <c16:uniqueId val="{00000019-A658-4362-888B-AEB426FF3DEE}"/>
              </c:ext>
            </c:extLst>
          </c:dPt>
          <c:val>
            <c:numRef>
              <c:f>Processing!$D$43:$D$46</c:f>
              <c:numCache>
                <c:formatCode>0%</c:formatCode>
                <c:ptCount val="4"/>
                <c:pt idx="0">
                  <c:v>0.21048387096774193</c:v>
                </c:pt>
                <c:pt idx="1">
                  <c:v>0.3988911290322581</c:v>
                </c:pt>
                <c:pt idx="2">
                  <c:v>0.140625</c:v>
                </c:pt>
                <c:pt idx="3">
                  <c:v>0.25</c:v>
                </c:pt>
              </c:numCache>
            </c:numRef>
          </c:val>
          <c:extLst>
            <c:ext xmlns:c16="http://schemas.microsoft.com/office/drawing/2014/chart" uri="{C3380CC4-5D6E-409C-BE32-E72D297353CC}">
              <c16:uniqueId val="{0000001A-A658-4362-888B-AEB426FF3DEE}"/>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C-A658-4362-888B-AEB426FF3DEE}"/>
              </c:ext>
            </c:extLst>
          </c:dPt>
          <c:dPt>
            <c:idx val="1"/>
            <c:bubble3D val="0"/>
            <c:spPr>
              <a:noFill/>
              <a:ln w="19050">
                <a:noFill/>
              </a:ln>
              <a:effectLst/>
            </c:spPr>
            <c:extLst>
              <c:ext xmlns:c16="http://schemas.microsoft.com/office/drawing/2014/chart" uri="{C3380CC4-5D6E-409C-BE32-E72D297353CC}">
                <c16:uniqueId val="{0000001E-A658-4362-888B-AEB426FF3DEE}"/>
              </c:ext>
            </c:extLst>
          </c:dPt>
          <c:dPt>
            <c:idx val="2"/>
            <c:bubble3D val="0"/>
            <c:spPr>
              <a:noFill/>
              <a:ln w="19050">
                <a:noFill/>
              </a:ln>
              <a:effectLst/>
            </c:spPr>
            <c:extLst>
              <c:ext xmlns:c16="http://schemas.microsoft.com/office/drawing/2014/chart" uri="{C3380CC4-5D6E-409C-BE32-E72D297353CC}">
                <c16:uniqueId val="{00000020-A658-4362-888B-AEB426FF3DEE}"/>
              </c:ext>
            </c:extLst>
          </c:dPt>
          <c:dPt>
            <c:idx val="3"/>
            <c:bubble3D val="0"/>
            <c:spPr>
              <a:noFill/>
              <a:ln w="19050">
                <a:noFill/>
              </a:ln>
              <a:effectLst/>
            </c:spPr>
            <c:extLst>
              <c:ext xmlns:c16="http://schemas.microsoft.com/office/drawing/2014/chart" uri="{C3380CC4-5D6E-409C-BE32-E72D297353CC}">
                <c16:uniqueId val="{00000022-A658-4362-888B-AEB426FF3DEE}"/>
              </c:ext>
            </c:extLst>
          </c:dPt>
          <c:val>
            <c:numRef>
              <c:f>Processing!$E$43:$E$46</c:f>
              <c:numCache>
                <c:formatCode>0%</c:formatCode>
                <c:ptCount val="4"/>
                <c:pt idx="0">
                  <c:v>0.21048387096774193</c:v>
                </c:pt>
                <c:pt idx="1">
                  <c:v>0.3988911290322581</c:v>
                </c:pt>
                <c:pt idx="2">
                  <c:v>0.140625</c:v>
                </c:pt>
                <c:pt idx="3">
                  <c:v>0.25</c:v>
                </c:pt>
              </c:numCache>
            </c:numRef>
          </c:val>
          <c:extLst>
            <c:ext xmlns:c16="http://schemas.microsoft.com/office/drawing/2014/chart" uri="{C3380CC4-5D6E-409C-BE32-E72D297353CC}">
              <c16:uniqueId val="{00000023-A658-4362-888B-AEB426FF3DEE}"/>
            </c:ext>
          </c:extLst>
        </c:ser>
        <c:ser>
          <c:idx val="4"/>
          <c:order val="4"/>
          <c:spPr>
            <a:ln>
              <a:noFill/>
            </a:ln>
          </c:spPr>
          <c:dPt>
            <c:idx val="0"/>
            <c:bubble3D val="0"/>
            <c:spPr>
              <a:gradFill>
                <a:gsLst>
                  <a:gs pos="0">
                    <a:srgbClr val="476BEE"/>
                  </a:gs>
                  <a:gs pos="100000">
                    <a:srgbClr val="3A5CE2"/>
                  </a:gs>
                </a:gsLst>
                <a:lin ang="5400000" scaled="0"/>
              </a:gradFill>
              <a:ln w="19050">
                <a:noFill/>
              </a:ln>
              <a:effectLst/>
            </c:spPr>
            <c:extLst>
              <c:ext xmlns:c16="http://schemas.microsoft.com/office/drawing/2014/chart" uri="{C3380CC4-5D6E-409C-BE32-E72D297353CC}">
                <c16:uniqueId val="{00000025-A658-4362-888B-AEB426FF3DEE}"/>
              </c:ext>
            </c:extLst>
          </c:dPt>
          <c:dPt>
            <c:idx val="1"/>
            <c:bubble3D val="0"/>
            <c:spPr>
              <a:solidFill>
                <a:srgbClr val="8199F3"/>
              </a:solidFill>
              <a:ln w="19050">
                <a:noFill/>
              </a:ln>
              <a:effectLst/>
            </c:spPr>
            <c:extLst>
              <c:ext xmlns:c16="http://schemas.microsoft.com/office/drawing/2014/chart" uri="{C3380CC4-5D6E-409C-BE32-E72D297353CC}">
                <c16:uniqueId val="{00000027-A658-4362-888B-AEB426FF3DEE}"/>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29-A658-4362-888B-AEB426FF3DEE}"/>
              </c:ext>
            </c:extLst>
          </c:dPt>
          <c:dPt>
            <c:idx val="3"/>
            <c:bubble3D val="0"/>
            <c:spPr>
              <a:noFill/>
              <a:ln w="19050">
                <a:noFill/>
              </a:ln>
              <a:effectLst/>
            </c:spPr>
            <c:extLst>
              <c:ext xmlns:c16="http://schemas.microsoft.com/office/drawing/2014/chart" uri="{C3380CC4-5D6E-409C-BE32-E72D297353CC}">
                <c16:uniqueId val="{0000002B-A658-4362-888B-AEB426FF3DEE}"/>
              </c:ext>
            </c:extLst>
          </c:dPt>
          <c:val>
            <c:numRef>
              <c:f>Processing!$F$43:$F$46</c:f>
              <c:numCache>
                <c:formatCode>0%</c:formatCode>
                <c:ptCount val="4"/>
                <c:pt idx="0">
                  <c:v>0.24828629032258062</c:v>
                </c:pt>
                <c:pt idx="1">
                  <c:v>0.40796370967741935</c:v>
                </c:pt>
                <c:pt idx="2">
                  <c:v>9.375E-2</c:v>
                </c:pt>
                <c:pt idx="3">
                  <c:v>0.25</c:v>
                </c:pt>
              </c:numCache>
            </c:numRef>
          </c:val>
          <c:extLst>
            <c:ext xmlns:c16="http://schemas.microsoft.com/office/drawing/2014/chart" uri="{C3380CC4-5D6E-409C-BE32-E72D297353CC}">
              <c16:uniqueId val="{0000002C-A658-4362-888B-AEB426FF3DEE}"/>
            </c:ext>
          </c:extLst>
        </c:ser>
        <c:ser>
          <c:idx val="5"/>
          <c:order val="5"/>
          <c:spPr>
            <a:noFill/>
            <a:ln>
              <a:noFill/>
            </a:ln>
          </c:spPr>
          <c:dPt>
            <c:idx val="0"/>
            <c:bubble3D val="0"/>
            <c:spPr>
              <a:noFill/>
              <a:ln w="19050">
                <a:noFill/>
              </a:ln>
              <a:effectLst/>
            </c:spPr>
            <c:extLst>
              <c:ext xmlns:c16="http://schemas.microsoft.com/office/drawing/2014/chart" uri="{C3380CC4-5D6E-409C-BE32-E72D297353CC}">
                <c16:uniqueId val="{0000002E-A658-4362-888B-AEB426FF3DEE}"/>
              </c:ext>
            </c:extLst>
          </c:dPt>
          <c:dPt>
            <c:idx val="1"/>
            <c:bubble3D val="0"/>
            <c:spPr>
              <a:noFill/>
              <a:ln w="19050">
                <a:noFill/>
              </a:ln>
              <a:effectLst/>
            </c:spPr>
            <c:extLst>
              <c:ext xmlns:c16="http://schemas.microsoft.com/office/drawing/2014/chart" uri="{C3380CC4-5D6E-409C-BE32-E72D297353CC}">
                <c16:uniqueId val="{00000030-A658-4362-888B-AEB426FF3DEE}"/>
              </c:ext>
            </c:extLst>
          </c:dPt>
          <c:dPt>
            <c:idx val="2"/>
            <c:bubble3D val="0"/>
            <c:spPr>
              <a:noFill/>
              <a:ln w="19050">
                <a:noFill/>
              </a:ln>
              <a:effectLst/>
            </c:spPr>
            <c:extLst>
              <c:ext xmlns:c16="http://schemas.microsoft.com/office/drawing/2014/chart" uri="{C3380CC4-5D6E-409C-BE32-E72D297353CC}">
                <c16:uniqueId val="{00000032-A658-4362-888B-AEB426FF3DEE}"/>
              </c:ext>
            </c:extLst>
          </c:dPt>
          <c:dPt>
            <c:idx val="3"/>
            <c:bubble3D val="0"/>
            <c:spPr>
              <a:noFill/>
              <a:ln w="19050">
                <a:noFill/>
              </a:ln>
              <a:effectLst/>
            </c:spPr>
            <c:extLst>
              <c:ext xmlns:c16="http://schemas.microsoft.com/office/drawing/2014/chart" uri="{C3380CC4-5D6E-409C-BE32-E72D297353CC}">
                <c16:uniqueId val="{00000034-A658-4362-888B-AEB426FF3DEE}"/>
              </c:ext>
            </c:extLst>
          </c:dPt>
          <c:val>
            <c:numRef>
              <c:f>Processing!$G$43:$G$46</c:f>
              <c:numCache>
                <c:formatCode>0%</c:formatCode>
                <c:ptCount val="4"/>
                <c:pt idx="0">
                  <c:v>0.24828629032258062</c:v>
                </c:pt>
                <c:pt idx="1">
                  <c:v>0.40796370967741935</c:v>
                </c:pt>
                <c:pt idx="2">
                  <c:v>9.375E-2</c:v>
                </c:pt>
                <c:pt idx="3">
                  <c:v>0.25</c:v>
                </c:pt>
              </c:numCache>
            </c:numRef>
          </c:val>
          <c:extLst>
            <c:ext xmlns:c16="http://schemas.microsoft.com/office/drawing/2014/chart" uri="{C3380CC4-5D6E-409C-BE32-E72D297353CC}">
              <c16:uniqueId val="{00000035-A658-4362-888B-AEB426FF3DEE}"/>
            </c:ext>
          </c:extLst>
        </c:ser>
        <c:ser>
          <c:idx val="6"/>
          <c:order val="6"/>
          <c:spPr>
            <a:ln>
              <a:noFill/>
            </a:ln>
          </c:spPr>
          <c:dPt>
            <c:idx val="0"/>
            <c:bubble3D val="0"/>
            <c:spPr>
              <a:gradFill>
                <a:gsLst>
                  <a:gs pos="0">
                    <a:srgbClr val="476BEE"/>
                  </a:gs>
                  <a:gs pos="100000">
                    <a:srgbClr val="3A5CE2"/>
                  </a:gs>
                </a:gsLst>
                <a:lin ang="5400000" scaled="0"/>
              </a:gradFill>
              <a:ln w="19050">
                <a:noFill/>
              </a:ln>
              <a:effectLst/>
            </c:spPr>
            <c:extLst>
              <c:ext xmlns:c16="http://schemas.microsoft.com/office/drawing/2014/chart" uri="{C3380CC4-5D6E-409C-BE32-E72D297353CC}">
                <c16:uniqueId val="{00000037-A658-4362-888B-AEB426FF3DEE}"/>
              </c:ext>
            </c:extLst>
          </c:dPt>
          <c:dPt>
            <c:idx val="1"/>
            <c:bubble3D val="0"/>
            <c:spPr>
              <a:solidFill>
                <a:srgbClr val="8199F3"/>
              </a:solidFill>
              <a:ln w="19050">
                <a:noFill/>
              </a:ln>
              <a:effectLst/>
            </c:spPr>
            <c:extLst>
              <c:ext xmlns:c16="http://schemas.microsoft.com/office/drawing/2014/chart" uri="{C3380CC4-5D6E-409C-BE32-E72D297353CC}">
                <c16:uniqueId val="{00000039-A658-4362-888B-AEB426FF3DEE}"/>
              </c:ext>
            </c:extLst>
          </c:dPt>
          <c:dPt>
            <c:idx val="2"/>
            <c:bubble3D val="0"/>
            <c:spPr>
              <a:solidFill>
                <a:schemeClr val="accent3"/>
              </a:solidFill>
              <a:ln w="19050">
                <a:noFill/>
              </a:ln>
              <a:effectLst/>
            </c:spPr>
            <c:extLst>
              <c:ext xmlns:c16="http://schemas.microsoft.com/office/drawing/2014/chart" uri="{C3380CC4-5D6E-409C-BE32-E72D297353CC}">
                <c16:uniqueId val="{0000003B-A658-4362-888B-AEB426FF3DEE}"/>
              </c:ext>
            </c:extLst>
          </c:dPt>
          <c:dPt>
            <c:idx val="3"/>
            <c:bubble3D val="0"/>
            <c:spPr>
              <a:noFill/>
              <a:ln w="19050">
                <a:noFill/>
              </a:ln>
              <a:effectLst/>
            </c:spPr>
            <c:extLst>
              <c:ext xmlns:c16="http://schemas.microsoft.com/office/drawing/2014/chart" uri="{C3380CC4-5D6E-409C-BE32-E72D297353CC}">
                <c16:uniqueId val="{0000003D-A658-4362-888B-AEB426FF3DEE}"/>
              </c:ext>
            </c:extLst>
          </c:dPt>
          <c:val>
            <c:numRef>
              <c:f>Processing!$H$43:$H$46</c:f>
              <c:numCache>
                <c:formatCode>0%</c:formatCode>
                <c:ptCount val="4"/>
                <c:pt idx="0">
                  <c:v>0.204133064516129</c:v>
                </c:pt>
                <c:pt idx="1">
                  <c:v>0.545866935483871</c:v>
                </c:pt>
                <c:pt idx="2">
                  <c:v>0</c:v>
                </c:pt>
                <c:pt idx="3">
                  <c:v>0.25</c:v>
                </c:pt>
              </c:numCache>
            </c:numRef>
          </c:val>
          <c:extLst>
            <c:ext xmlns:c16="http://schemas.microsoft.com/office/drawing/2014/chart" uri="{C3380CC4-5D6E-409C-BE32-E72D297353CC}">
              <c16:uniqueId val="{0000003E-A658-4362-888B-AEB426FF3DE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52370953630796"/>
          <c:y val="5.5944327521884232E-2"/>
          <c:w val="0.69476185476815389"/>
          <c:h val="0.70733647795044774"/>
        </c:manualLayout>
      </c:layout>
      <c:doughnutChart>
        <c:varyColors val="1"/>
        <c:ser>
          <c:idx val="0"/>
          <c:order val="0"/>
          <c:spPr>
            <a:ln>
              <a:noFill/>
            </a:ln>
          </c:spPr>
          <c:dPt>
            <c:idx val="0"/>
            <c:bubble3D val="0"/>
            <c:spPr>
              <a:gradFill>
                <a:gsLst>
                  <a:gs pos="15000">
                    <a:srgbClr val="0070B1"/>
                  </a:gs>
                  <a:gs pos="100000">
                    <a:srgbClr val="00B7D2"/>
                  </a:gs>
                </a:gsLst>
                <a:lin ang="8100000" scaled="1"/>
              </a:gradFill>
              <a:ln w="19050">
                <a:noFill/>
              </a:ln>
              <a:effectLst/>
            </c:spPr>
            <c:extLst>
              <c:ext xmlns:c16="http://schemas.microsoft.com/office/drawing/2014/chart" uri="{C3380CC4-5D6E-409C-BE32-E72D297353CC}">
                <c16:uniqueId val="{00000001-0F90-435E-97EE-919244D9B3AE}"/>
              </c:ext>
            </c:extLst>
          </c:dPt>
          <c:dPt>
            <c:idx val="1"/>
            <c:bubble3D val="0"/>
            <c:spPr>
              <a:noFill/>
              <a:ln w="19050">
                <a:noFill/>
              </a:ln>
              <a:effectLst/>
            </c:spPr>
            <c:extLst>
              <c:ext xmlns:c16="http://schemas.microsoft.com/office/drawing/2014/chart" uri="{C3380CC4-5D6E-409C-BE32-E72D297353CC}">
                <c16:uniqueId val="{00000003-0F90-435E-97EE-919244D9B3AE}"/>
              </c:ext>
            </c:extLst>
          </c:dPt>
          <c:dPt>
            <c:idx val="2"/>
            <c:bubble3D val="0"/>
            <c:spPr>
              <a:solidFill>
                <a:srgbClr val="00B702"/>
              </a:solidFill>
              <a:ln w="19050">
                <a:noFill/>
              </a:ln>
              <a:effectLst/>
            </c:spPr>
            <c:extLst>
              <c:ext xmlns:c16="http://schemas.microsoft.com/office/drawing/2014/chart" uri="{C3380CC4-5D6E-409C-BE32-E72D297353CC}">
                <c16:uniqueId val="{00000005-0F90-435E-97EE-919244D9B3AE}"/>
              </c:ext>
            </c:extLst>
          </c:dPt>
          <c:dPt>
            <c:idx val="3"/>
            <c:bubble3D val="0"/>
            <c:spPr>
              <a:gradFill>
                <a:gsLst>
                  <a:gs pos="0">
                    <a:srgbClr val="3A5CE2"/>
                  </a:gs>
                  <a:gs pos="100000">
                    <a:srgbClr val="476BEE"/>
                  </a:gs>
                </a:gsLst>
                <a:lin ang="8100000" scaled="1"/>
              </a:gradFill>
              <a:ln w="19050">
                <a:noFill/>
              </a:ln>
              <a:effectLst/>
            </c:spPr>
            <c:extLst>
              <c:ext xmlns:c16="http://schemas.microsoft.com/office/drawing/2014/chart" uri="{C3380CC4-5D6E-409C-BE32-E72D297353CC}">
                <c16:uniqueId val="{00000007-0F90-435E-97EE-919244D9B3AE}"/>
              </c:ext>
            </c:extLst>
          </c:dPt>
          <c:dPt>
            <c:idx val="4"/>
            <c:bubble3D val="0"/>
            <c:spPr>
              <a:noFill/>
              <a:ln w="19050">
                <a:noFill/>
              </a:ln>
              <a:effectLst/>
            </c:spPr>
            <c:extLst>
              <c:ext xmlns:c16="http://schemas.microsoft.com/office/drawing/2014/chart" uri="{C3380CC4-5D6E-409C-BE32-E72D297353CC}">
                <c16:uniqueId val="{00000009-0F90-435E-97EE-919244D9B3AE}"/>
              </c:ext>
            </c:extLst>
          </c:dPt>
          <c:dPt>
            <c:idx val="5"/>
            <c:bubble3D val="0"/>
            <c:spPr>
              <a:solidFill>
                <a:srgbClr val="00B702"/>
              </a:solidFill>
              <a:ln w="19050">
                <a:noFill/>
              </a:ln>
              <a:effectLst/>
            </c:spPr>
            <c:extLst>
              <c:ext xmlns:c16="http://schemas.microsoft.com/office/drawing/2014/chart" uri="{C3380CC4-5D6E-409C-BE32-E72D297353CC}">
                <c16:uniqueId val="{0000000B-0F90-435E-97EE-919244D9B3AE}"/>
              </c:ext>
            </c:extLst>
          </c:dPt>
          <c:val>
            <c:numRef>
              <c:f>Processing!$E$18:$J$18</c:f>
              <c:numCache>
                <c:formatCode>0%</c:formatCode>
                <c:ptCount val="6"/>
                <c:pt idx="0">
                  <c:v>0.1820835204310732</c:v>
                </c:pt>
                <c:pt idx="1">
                  <c:v>0.1546924113156713</c:v>
                </c:pt>
                <c:pt idx="2">
                  <c:v>0.18230803771890436</c:v>
                </c:pt>
                <c:pt idx="3">
                  <c:v>0.17220475976650201</c:v>
                </c:pt>
                <c:pt idx="4">
                  <c:v>0.15087561742254155</c:v>
                </c:pt>
                <c:pt idx="5">
                  <c:v>0.15783565334530758</c:v>
                </c:pt>
              </c:numCache>
            </c:numRef>
          </c:val>
          <c:extLst>
            <c:ext xmlns:c16="http://schemas.microsoft.com/office/drawing/2014/chart" uri="{C3380CC4-5D6E-409C-BE32-E72D297353CC}">
              <c16:uniqueId val="{0000000C-0F90-435E-97EE-919244D9B3AE}"/>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E-0F90-435E-97EE-919244D9B3AE}"/>
              </c:ext>
            </c:extLst>
          </c:dPt>
          <c:dPt>
            <c:idx val="1"/>
            <c:bubble3D val="0"/>
            <c:spPr>
              <a:noFill/>
              <a:ln w="19050">
                <a:noFill/>
              </a:ln>
              <a:effectLst/>
            </c:spPr>
            <c:extLst>
              <c:ext xmlns:c16="http://schemas.microsoft.com/office/drawing/2014/chart" uri="{C3380CC4-5D6E-409C-BE32-E72D297353CC}">
                <c16:uniqueId val="{00000010-0F90-435E-97EE-919244D9B3AE}"/>
              </c:ext>
            </c:extLst>
          </c:dPt>
          <c:dPt>
            <c:idx val="2"/>
            <c:bubble3D val="0"/>
            <c:spPr>
              <a:noFill/>
              <a:ln w="19050">
                <a:noFill/>
              </a:ln>
              <a:effectLst/>
            </c:spPr>
            <c:extLst>
              <c:ext xmlns:c16="http://schemas.microsoft.com/office/drawing/2014/chart" uri="{C3380CC4-5D6E-409C-BE32-E72D297353CC}">
                <c16:uniqueId val="{00000012-0F90-435E-97EE-919244D9B3AE}"/>
              </c:ext>
            </c:extLst>
          </c:dPt>
          <c:dPt>
            <c:idx val="3"/>
            <c:bubble3D val="0"/>
            <c:spPr>
              <a:noFill/>
              <a:ln w="19050">
                <a:noFill/>
              </a:ln>
              <a:effectLst/>
            </c:spPr>
            <c:extLst>
              <c:ext xmlns:c16="http://schemas.microsoft.com/office/drawing/2014/chart" uri="{C3380CC4-5D6E-409C-BE32-E72D297353CC}">
                <c16:uniqueId val="{00000014-0F90-435E-97EE-919244D9B3AE}"/>
              </c:ext>
            </c:extLst>
          </c:dPt>
          <c:dPt>
            <c:idx val="4"/>
            <c:bubble3D val="0"/>
            <c:spPr>
              <a:noFill/>
              <a:ln w="19050">
                <a:noFill/>
              </a:ln>
              <a:effectLst/>
            </c:spPr>
            <c:extLst>
              <c:ext xmlns:c16="http://schemas.microsoft.com/office/drawing/2014/chart" uri="{C3380CC4-5D6E-409C-BE32-E72D297353CC}">
                <c16:uniqueId val="{00000016-0F90-435E-97EE-919244D9B3AE}"/>
              </c:ext>
            </c:extLst>
          </c:dPt>
          <c:dPt>
            <c:idx val="5"/>
            <c:bubble3D val="0"/>
            <c:spPr>
              <a:noFill/>
              <a:ln w="19050">
                <a:noFill/>
              </a:ln>
              <a:effectLst/>
            </c:spPr>
            <c:extLst>
              <c:ext xmlns:c16="http://schemas.microsoft.com/office/drawing/2014/chart" uri="{C3380CC4-5D6E-409C-BE32-E72D297353CC}">
                <c16:uniqueId val="{00000018-0F90-435E-97EE-919244D9B3AE}"/>
              </c:ext>
            </c:extLst>
          </c:dPt>
          <c:val>
            <c:numRef>
              <c:f>Processing!$E$18:$J$18</c:f>
              <c:numCache>
                <c:formatCode>0%</c:formatCode>
                <c:ptCount val="6"/>
                <c:pt idx="0">
                  <c:v>0.1820835204310732</c:v>
                </c:pt>
                <c:pt idx="1">
                  <c:v>0.1546924113156713</c:v>
                </c:pt>
                <c:pt idx="2">
                  <c:v>0.18230803771890436</c:v>
                </c:pt>
                <c:pt idx="3">
                  <c:v>0.17220475976650201</c:v>
                </c:pt>
                <c:pt idx="4">
                  <c:v>0.15087561742254155</c:v>
                </c:pt>
                <c:pt idx="5">
                  <c:v>0.15783565334530758</c:v>
                </c:pt>
              </c:numCache>
            </c:numRef>
          </c:val>
          <c:extLst>
            <c:ext xmlns:c16="http://schemas.microsoft.com/office/drawing/2014/chart" uri="{C3380CC4-5D6E-409C-BE32-E72D297353CC}">
              <c16:uniqueId val="{00000019-0F90-435E-97EE-919244D9B3AE}"/>
            </c:ext>
          </c:extLst>
        </c:ser>
        <c:dLbls>
          <c:showLegendKey val="0"/>
          <c:showVal val="0"/>
          <c:showCatName val="0"/>
          <c:showSerName val="0"/>
          <c:showPercent val="0"/>
          <c:showBubbleSize val="0"/>
          <c:showLeaderLines val="1"/>
        </c:dLbls>
        <c:firstSliceAng val="15"/>
        <c:holeSize val="30"/>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B-0F90-435E-97EE-919244D9B3AE}"/>
              </c:ext>
            </c:extLst>
          </c:dPt>
          <c:dPt>
            <c:idx val="1"/>
            <c:bubble3D val="0"/>
            <c:spPr>
              <a:noFill/>
              <a:ln w="19050">
                <a:noFill/>
              </a:ln>
              <a:effectLst/>
            </c:spPr>
            <c:extLst>
              <c:ext xmlns:c16="http://schemas.microsoft.com/office/drawing/2014/chart" uri="{C3380CC4-5D6E-409C-BE32-E72D297353CC}">
                <c16:uniqueId val="{0000001D-0F90-435E-97EE-919244D9B3AE}"/>
              </c:ext>
            </c:extLst>
          </c:dPt>
          <c:dPt>
            <c:idx val="2"/>
            <c:bubble3D val="0"/>
            <c:spPr>
              <a:gradFill>
                <a:gsLst>
                  <a:gs pos="0">
                    <a:srgbClr val="3647E3"/>
                  </a:gs>
                  <a:gs pos="100000">
                    <a:srgbClr val="8D76FC"/>
                  </a:gs>
                </a:gsLst>
                <a:lin ang="8100000" scaled="1"/>
              </a:gradFill>
              <a:ln w="19050">
                <a:noFill/>
              </a:ln>
              <a:effectLst/>
            </c:spPr>
            <c:extLst>
              <c:ext xmlns:c16="http://schemas.microsoft.com/office/drawing/2014/chart" uri="{C3380CC4-5D6E-409C-BE32-E72D297353CC}">
                <c16:uniqueId val="{0000001F-0F90-435E-97EE-919244D9B3AE}"/>
              </c:ext>
            </c:extLst>
          </c:dPt>
          <c:dPt>
            <c:idx val="3"/>
            <c:bubble3D val="0"/>
            <c:spPr>
              <a:noFill/>
              <a:ln w="19050">
                <a:noFill/>
              </a:ln>
              <a:effectLst/>
            </c:spPr>
            <c:extLst>
              <c:ext xmlns:c16="http://schemas.microsoft.com/office/drawing/2014/chart" uri="{C3380CC4-5D6E-409C-BE32-E72D297353CC}">
                <c16:uniqueId val="{00000021-0F90-435E-97EE-919244D9B3AE}"/>
              </c:ext>
            </c:extLst>
          </c:dPt>
          <c:dPt>
            <c:idx val="4"/>
            <c:bubble3D val="0"/>
            <c:spPr>
              <a:noFill/>
              <a:ln w="19050">
                <a:noFill/>
              </a:ln>
              <a:effectLst/>
            </c:spPr>
            <c:extLst>
              <c:ext xmlns:c16="http://schemas.microsoft.com/office/drawing/2014/chart" uri="{C3380CC4-5D6E-409C-BE32-E72D297353CC}">
                <c16:uniqueId val="{00000023-0F90-435E-97EE-919244D9B3AE}"/>
              </c:ext>
            </c:extLst>
          </c:dPt>
          <c:dPt>
            <c:idx val="5"/>
            <c:bubble3D val="0"/>
            <c:spPr>
              <a:gradFill>
                <a:gsLst>
                  <a:gs pos="0">
                    <a:srgbClr val="8701DA"/>
                  </a:gs>
                  <a:gs pos="100000">
                    <a:srgbClr val="AD27FE"/>
                  </a:gs>
                </a:gsLst>
                <a:lin ang="8100000" scaled="1"/>
              </a:gradFill>
              <a:ln w="19050">
                <a:noFill/>
              </a:ln>
              <a:effectLst/>
            </c:spPr>
            <c:extLst>
              <c:ext xmlns:c16="http://schemas.microsoft.com/office/drawing/2014/chart" uri="{C3380CC4-5D6E-409C-BE32-E72D297353CC}">
                <c16:uniqueId val="{00000025-0F90-435E-97EE-919244D9B3AE}"/>
              </c:ext>
            </c:extLst>
          </c:dPt>
          <c:val>
            <c:numRef>
              <c:f>Processing!$E$20:$J$20</c:f>
              <c:numCache>
                <c:formatCode>0%</c:formatCode>
                <c:ptCount val="6"/>
                <c:pt idx="0">
                  <c:v>0.1820835204310732</c:v>
                </c:pt>
                <c:pt idx="1">
                  <c:v>0.1546924113156713</c:v>
                </c:pt>
                <c:pt idx="2">
                  <c:v>0.18230803771890436</c:v>
                </c:pt>
                <c:pt idx="3">
                  <c:v>0.17220475976650201</c:v>
                </c:pt>
                <c:pt idx="4">
                  <c:v>0.15087561742254155</c:v>
                </c:pt>
                <c:pt idx="5">
                  <c:v>0.15783565334530758</c:v>
                </c:pt>
              </c:numCache>
            </c:numRef>
          </c:val>
          <c:extLst>
            <c:ext xmlns:c16="http://schemas.microsoft.com/office/drawing/2014/chart" uri="{C3380CC4-5D6E-409C-BE32-E72D297353CC}">
              <c16:uniqueId val="{00000026-0F90-435E-97EE-919244D9B3AE}"/>
            </c:ext>
          </c:extLst>
        </c:ser>
        <c:dLbls>
          <c:showLegendKey val="0"/>
          <c:showVal val="0"/>
          <c:showCatName val="0"/>
          <c:showSerName val="0"/>
          <c:showPercent val="0"/>
          <c:showBubbleSize val="0"/>
          <c:showLeaderLines val="1"/>
        </c:dLbls>
        <c:firstSliceAng val="15"/>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903197275352352"/>
          <c:y val="0.14570418430563487"/>
          <c:w val="0.44903216682099734"/>
          <c:h val="0.72499999999999998"/>
        </c:manualLayout>
      </c:layout>
      <c:doughnutChart>
        <c:varyColors val="1"/>
        <c:ser>
          <c:idx val="0"/>
          <c:order val="0"/>
          <c:tx>
            <c:strRef>
              <c:f>Processing!$A$26</c:f>
              <c:strCache>
                <c:ptCount val="1"/>
                <c:pt idx="0">
                  <c:v>Used Budegt</c:v>
                </c:pt>
              </c:strCache>
            </c:strRef>
          </c:tx>
          <c:spPr>
            <a:ln>
              <a:noFill/>
            </a:ln>
          </c:spPr>
          <c:dPt>
            <c:idx val="0"/>
            <c:bubble3D val="0"/>
            <c:spPr>
              <a:solidFill>
                <a:srgbClr val="3647E3"/>
              </a:solidFill>
              <a:ln w="19050">
                <a:noFill/>
              </a:ln>
              <a:effectLst/>
            </c:spPr>
            <c:extLst>
              <c:ext xmlns:c16="http://schemas.microsoft.com/office/drawing/2014/chart" uri="{C3380CC4-5D6E-409C-BE32-E72D297353CC}">
                <c16:uniqueId val="{00000001-889E-435F-BD90-DC3FC98FC23F}"/>
              </c:ext>
            </c:extLst>
          </c:dPt>
          <c:dPt>
            <c:idx val="1"/>
            <c:bubble3D val="0"/>
            <c:spPr>
              <a:noFill/>
              <a:ln w="19050">
                <a:noFill/>
              </a:ln>
              <a:effectLst/>
            </c:spPr>
            <c:extLst>
              <c:ext xmlns:c16="http://schemas.microsoft.com/office/drawing/2014/chart" uri="{C3380CC4-5D6E-409C-BE32-E72D297353CC}">
                <c16:uniqueId val="{00000003-889E-435F-BD90-DC3FC98FC23F}"/>
              </c:ext>
            </c:extLst>
          </c:dPt>
          <c:val>
            <c:numRef>
              <c:f>Processing!$B$26:$C$26</c:f>
              <c:numCache>
                <c:formatCode>0%</c:formatCode>
                <c:ptCount val="2"/>
                <c:pt idx="0">
                  <c:v>6.3013333333333338E-2</c:v>
                </c:pt>
                <c:pt idx="1">
                  <c:v>0.93698666666666663</c:v>
                </c:pt>
              </c:numCache>
            </c:numRef>
          </c:val>
          <c:extLst>
            <c:ext xmlns:c16="http://schemas.microsoft.com/office/drawing/2014/chart" uri="{C3380CC4-5D6E-409C-BE32-E72D297353CC}">
              <c16:uniqueId val="{00000004-889E-435F-BD90-DC3FC98FC23F}"/>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Dudegt</a:t>
            </a:r>
          </a:p>
        </c:rich>
      </c:tx>
      <c:layout>
        <c:manualLayout>
          <c:xMode val="edge"/>
          <c:yMode val="edge"/>
          <c:x val="3.322473692297457E-2"/>
          <c:y val="8.163267929702049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rgbClr val="476BEE"/>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Processing!$E$18:$J$18</c:f>
              <c:numCache>
                <c:formatCode>0%</c:formatCode>
                <c:ptCount val="6"/>
                <c:pt idx="0">
                  <c:v>0.1820835204310732</c:v>
                </c:pt>
                <c:pt idx="1">
                  <c:v>0.1546924113156713</c:v>
                </c:pt>
                <c:pt idx="2">
                  <c:v>0.18230803771890436</c:v>
                </c:pt>
                <c:pt idx="3">
                  <c:v>0.17220475976650201</c:v>
                </c:pt>
                <c:pt idx="4">
                  <c:v>0.15087561742254155</c:v>
                </c:pt>
                <c:pt idx="5">
                  <c:v>0.15783565334530758</c:v>
                </c:pt>
              </c:numCache>
            </c:numRef>
          </c:val>
          <c:extLst>
            <c:ext xmlns:c16="http://schemas.microsoft.com/office/drawing/2014/chart" uri="{C3380CC4-5D6E-409C-BE32-E72D297353CC}">
              <c16:uniqueId val="{00000000-FCEE-4D28-94A3-4BD82E4B893C}"/>
            </c:ext>
          </c:extLst>
        </c:ser>
        <c:ser>
          <c:idx val="1"/>
          <c:order val="1"/>
          <c:spPr>
            <a:solidFill>
              <a:srgbClr val="6372A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Processing!$E$19:$J$19</c:f>
              <c:numCache>
                <c:formatCode>0%</c:formatCode>
                <c:ptCount val="6"/>
                <c:pt idx="0">
                  <c:v>0.1820835204310732</c:v>
                </c:pt>
                <c:pt idx="1">
                  <c:v>0.1546924113156713</c:v>
                </c:pt>
                <c:pt idx="2">
                  <c:v>0.18230803771890436</c:v>
                </c:pt>
                <c:pt idx="3">
                  <c:v>0.17220475976650201</c:v>
                </c:pt>
                <c:pt idx="4">
                  <c:v>0.15087561742254155</c:v>
                </c:pt>
                <c:pt idx="5">
                  <c:v>0.15783565334530758</c:v>
                </c:pt>
              </c:numCache>
            </c:numRef>
          </c:val>
          <c:extLst>
            <c:ext xmlns:c16="http://schemas.microsoft.com/office/drawing/2014/chart" uri="{C3380CC4-5D6E-409C-BE32-E72D297353CC}">
              <c16:uniqueId val="{00000001-FCEE-4D28-94A3-4BD82E4B893C}"/>
            </c:ext>
          </c:extLst>
        </c:ser>
        <c:ser>
          <c:idx val="2"/>
          <c:order val="2"/>
          <c:spPr>
            <a:solidFill>
              <a:srgbClr val="8199F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Processing!$E$20:$J$20</c:f>
              <c:numCache>
                <c:formatCode>0%</c:formatCode>
                <c:ptCount val="6"/>
                <c:pt idx="0">
                  <c:v>0.1820835204310732</c:v>
                </c:pt>
                <c:pt idx="1">
                  <c:v>0.1546924113156713</c:v>
                </c:pt>
                <c:pt idx="2">
                  <c:v>0.18230803771890436</c:v>
                </c:pt>
                <c:pt idx="3">
                  <c:v>0.17220475976650201</c:v>
                </c:pt>
                <c:pt idx="4">
                  <c:v>0.15087561742254155</c:v>
                </c:pt>
                <c:pt idx="5">
                  <c:v>0.15783565334530758</c:v>
                </c:pt>
              </c:numCache>
            </c:numRef>
          </c:val>
          <c:extLst>
            <c:ext xmlns:c16="http://schemas.microsoft.com/office/drawing/2014/chart" uri="{C3380CC4-5D6E-409C-BE32-E72D297353CC}">
              <c16:uniqueId val="{00000002-FCEE-4D28-94A3-4BD82E4B893C}"/>
            </c:ext>
          </c:extLst>
        </c:ser>
        <c:dLbls>
          <c:showLegendKey val="0"/>
          <c:showVal val="1"/>
          <c:showCatName val="0"/>
          <c:showSerName val="0"/>
          <c:showPercent val="0"/>
          <c:showBubbleSize val="0"/>
        </c:dLbls>
        <c:gapWidth val="150"/>
        <c:shape val="box"/>
        <c:axId val="1173881344"/>
        <c:axId val="962322728"/>
        <c:axId val="0"/>
      </c:bar3DChart>
      <c:catAx>
        <c:axId val="1173881344"/>
        <c:scaling>
          <c:orientation val="minMax"/>
        </c:scaling>
        <c:delete val="1"/>
        <c:axPos val="b"/>
        <c:majorTickMark val="out"/>
        <c:minorTickMark val="none"/>
        <c:tickLblPos val="nextTo"/>
        <c:crossAx val="962322728"/>
        <c:crosses val="autoZero"/>
        <c:auto val="1"/>
        <c:lblAlgn val="ctr"/>
        <c:lblOffset val="100"/>
        <c:noMultiLvlLbl val="0"/>
      </c:catAx>
      <c:valAx>
        <c:axId val="962322728"/>
        <c:scaling>
          <c:orientation val="minMax"/>
        </c:scaling>
        <c:delete val="1"/>
        <c:axPos val="l"/>
        <c:numFmt formatCode="0%" sourceLinked="1"/>
        <c:majorTickMark val="out"/>
        <c:minorTickMark val="none"/>
        <c:tickLblPos val="nextTo"/>
        <c:crossAx val="117388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597462514417536"/>
          <c:y val="8.8463160906093116E-2"/>
          <c:w val="0.47534689413823272"/>
          <c:h val="0.79224482356372117"/>
        </c:manualLayout>
      </c:layout>
      <c:doughnutChart>
        <c:varyColors val="1"/>
        <c:ser>
          <c:idx val="0"/>
          <c:order val="0"/>
          <c:spPr>
            <a:ln>
              <a:noFill/>
            </a:ln>
          </c:spPr>
          <c:dPt>
            <c:idx val="0"/>
            <c:bubble3D val="0"/>
            <c:spPr>
              <a:gradFill>
                <a:gsLst>
                  <a:gs pos="100000">
                    <a:srgbClr val="4355D9"/>
                  </a:gs>
                  <a:gs pos="43000">
                    <a:srgbClr val="8D76FC"/>
                  </a:gs>
                </a:gsLst>
                <a:lin ang="5400000" scaled="1"/>
              </a:gradFill>
              <a:ln w="19050">
                <a:noFill/>
              </a:ln>
              <a:effectLst/>
            </c:spPr>
            <c:extLst>
              <c:ext xmlns:c16="http://schemas.microsoft.com/office/drawing/2014/chart" uri="{C3380CC4-5D6E-409C-BE32-E72D297353CC}">
                <c16:uniqueId val="{00000001-4399-491A-9261-BD4E633A2D9F}"/>
              </c:ext>
            </c:extLst>
          </c:dPt>
          <c:dPt>
            <c:idx val="1"/>
            <c:bubble3D val="0"/>
            <c:spPr>
              <a:gradFill>
                <a:gsLst>
                  <a:gs pos="0">
                    <a:srgbClr val="4355D9"/>
                  </a:gs>
                  <a:gs pos="60000">
                    <a:srgbClr val="00B0F0"/>
                  </a:gs>
                </a:gsLst>
                <a:lin ang="1800000" scaled="0"/>
              </a:gradFill>
              <a:ln w="19050">
                <a:noFill/>
              </a:ln>
              <a:effectLst/>
            </c:spPr>
            <c:extLst>
              <c:ext xmlns:c16="http://schemas.microsoft.com/office/drawing/2014/chart" uri="{C3380CC4-5D6E-409C-BE32-E72D297353CC}">
                <c16:uniqueId val="{00000003-4399-491A-9261-BD4E633A2D9F}"/>
              </c:ext>
            </c:extLst>
          </c:dPt>
          <c:dPt>
            <c:idx val="2"/>
            <c:bubble3D val="0"/>
            <c:spPr>
              <a:gradFill>
                <a:gsLst>
                  <a:gs pos="0">
                    <a:srgbClr val="4355D9"/>
                  </a:gs>
                  <a:gs pos="60000">
                    <a:srgbClr val="3366FF"/>
                  </a:gs>
                </a:gsLst>
                <a:lin ang="1800000" scaled="0"/>
              </a:gradFill>
              <a:ln w="19050">
                <a:noFill/>
              </a:ln>
              <a:effectLst/>
            </c:spPr>
            <c:extLst>
              <c:ext xmlns:c16="http://schemas.microsoft.com/office/drawing/2014/chart" uri="{C3380CC4-5D6E-409C-BE32-E72D297353CC}">
                <c16:uniqueId val="{00000005-4399-491A-9261-BD4E633A2D9F}"/>
              </c:ext>
            </c:extLst>
          </c:dPt>
          <c:dPt>
            <c:idx val="3"/>
            <c:bubble3D val="0"/>
            <c:spPr>
              <a:gradFill>
                <a:gsLst>
                  <a:gs pos="0">
                    <a:srgbClr val="10123A"/>
                  </a:gs>
                  <a:gs pos="100000">
                    <a:srgbClr val="3366FF"/>
                  </a:gs>
                </a:gsLst>
                <a:lin ang="1800000" scaled="0"/>
              </a:gradFill>
              <a:ln w="19050">
                <a:noFill/>
              </a:ln>
              <a:effectLst/>
            </c:spPr>
            <c:extLst>
              <c:ext xmlns:c16="http://schemas.microsoft.com/office/drawing/2014/chart" uri="{C3380CC4-5D6E-409C-BE32-E72D297353CC}">
                <c16:uniqueId val="{00000007-4399-491A-9261-BD4E633A2D9F}"/>
              </c:ext>
            </c:extLst>
          </c:dPt>
          <c:dPt>
            <c:idx val="4"/>
            <c:bubble3D val="0"/>
            <c:spPr>
              <a:gradFill>
                <a:gsLst>
                  <a:gs pos="0">
                    <a:srgbClr val="AD27FE"/>
                  </a:gs>
                  <a:gs pos="100000">
                    <a:srgbClr val="7030A0"/>
                  </a:gs>
                </a:gsLst>
                <a:lin ang="1800000" scaled="0"/>
              </a:gradFill>
              <a:ln w="19050">
                <a:noFill/>
              </a:ln>
              <a:effectLst/>
            </c:spPr>
            <c:extLst>
              <c:ext xmlns:c16="http://schemas.microsoft.com/office/drawing/2014/chart" uri="{C3380CC4-5D6E-409C-BE32-E72D297353CC}">
                <c16:uniqueId val="{00000009-4399-491A-9261-BD4E633A2D9F}"/>
              </c:ext>
            </c:extLst>
          </c:dPt>
          <c:dPt>
            <c:idx val="5"/>
            <c:bubble3D val="0"/>
            <c:spPr>
              <a:noFill/>
              <a:ln w="19050">
                <a:noFill/>
              </a:ln>
              <a:effectLst/>
            </c:spPr>
            <c:extLst>
              <c:ext xmlns:c16="http://schemas.microsoft.com/office/drawing/2014/chart" uri="{C3380CC4-5D6E-409C-BE32-E72D297353CC}">
                <c16:uniqueId val="{0000000B-4399-491A-9261-BD4E633A2D9F}"/>
              </c:ext>
            </c:extLst>
          </c:dPt>
          <c:cat>
            <c:strRef>
              <c:f>Processing!$M$25:$M$29</c:f>
              <c:strCache>
                <c:ptCount val="5"/>
                <c:pt idx="0">
                  <c:v>Business</c:v>
                </c:pt>
                <c:pt idx="1">
                  <c:v>Securities</c:v>
                </c:pt>
                <c:pt idx="2">
                  <c:v> Crypto</c:v>
                </c:pt>
                <c:pt idx="3">
                  <c:v>Rent</c:v>
                </c:pt>
                <c:pt idx="4">
                  <c:v>Gold</c:v>
                </c:pt>
              </c:strCache>
            </c:strRef>
          </c:cat>
          <c:val>
            <c:numRef>
              <c:f>Processing!$H$25:$H$30</c:f>
              <c:numCache>
                <c:formatCode>0%</c:formatCode>
                <c:ptCount val="6"/>
                <c:pt idx="0">
                  <c:v>0.20106524633821571</c:v>
                </c:pt>
                <c:pt idx="1">
                  <c:v>0.23861517976031954</c:v>
                </c:pt>
                <c:pt idx="2">
                  <c:v>0.17896138482023966</c:v>
                </c:pt>
                <c:pt idx="3">
                  <c:v>0.19573901464713714</c:v>
                </c:pt>
                <c:pt idx="4">
                  <c:v>0.18561917443408787</c:v>
                </c:pt>
                <c:pt idx="5">
                  <c:v>1</c:v>
                </c:pt>
              </c:numCache>
            </c:numRef>
          </c:val>
          <c:extLst>
            <c:ext xmlns:c16="http://schemas.microsoft.com/office/drawing/2014/chart" uri="{C3380CC4-5D6E-409C-BE32-E72D297353CC}">
              <c16:uniqueId val="{0000000C-4399-491A-9261-BD4E633A2D9F}"/>
            </c:ext>
          </c:extLst>
        </c:ser>
        <c:ser>
          <c:idx val="1"/>
          <c:order val="1"/>
          <c:spPr>
            <a:ln>
              <a:noFill/>
            </a:ln>
          </c:spPr>
          <c:dPt>
            <c:idx val="0"/>
            <c:bubble3D val="0"/>
            <c:spPr>
              <a:gradFill>
                <a:gsLst>
                  <a:gs pos="100000">
                    <a:srgbClr val="4355D9"/>
                  </a:gs>
                  <a:gs pos="43000">
                    <a:srgbClr val="8D76FC"/>
                  </a:gs>
                </a:gsLst>
                <a:lin ang="5400000" scaled="1"/>
              </a:gradFill>
              <a:ln w="19050">
                <a:noFill/>
              </a:ln>
              <a:effectLst/>
            </c:spPr>
            <c:extLst>
              <c:ext xmlns:c16="http://schemas.microsoft.com/office/drawing/2014/chart" uri="{C3380CC4-5D6E-409C-BE32-E72D297353CC}">
                <c16:uniqueId val="{0000000E-4399-491A-9261-BD4E633A2D9F}"/>
              </c:ext>
            </c:extLst>
          </c:dPt>
          <c:dPt>
            <c:idx val="1"/>
            <c:bubble3D val="0"/>
            <c:spPr>
              <a:gradFill>
                <a:gsLst>
                  <a:gs pos="0">
                    <a:srgbClr val="4355D9"/>
                  </a:gs>
                  <a:gs pos="60000">
                    <a:srgbClr val="00B0F0"/>
                  </a:gs>
                </a:gsLst>
                <a:lin ang="1800000" scaled="0"/>
              </a:gradFill>
              <a:ln w="19050">
                <a:noFill/>
              </a:ln>
              <a:effectLst/>
            </c:spPr>
            <c:extLst>
              <c:ext xmlns:c16="http://schemas.microsoft.com/office/drawing/2014/chart" uri="{C3380CC4-5D6E-409C-BE32-E72D297353CC}">
                <c16:uniqueId val="{00000010-4399-491A-9261-BD4E633A2D9F}"/>
              </c:ext>
            </c:extLst>
          </c:dPt>
          <c:dPt>
            <c:idx val="2"/>
            <c:bubble3D val="0"/>
            <c:spPr>
              <a:gradFill>
                <a:gsLst>
                  <a:gs pos="0">
                    <a:srgbClr val="4355D9"/>
                  </a:gs>
                  <a:gs pos="60000">
                    <a:srgbClr val="3366FF"/>
                  </a:gs>
                </a:gsLst>
                <a:lin ang="1800000" scaled="0"/>
              </a:gradFill>
              <a:ln w="19050">
                <a:noFill/>
              </a:ln>
              <a:effectLst/>
            </c:spPr>
            <c:extLst>
              <c:ext xmlns:c16="http://schemas.microsoft.com/office/drawing/2014/chart" uri="{C3380CC4-5D6E-409C-BE32-E72D297353CC}">
                <c16:uniqueId val="{00000012-4399-491A-9261-BD4E633A2D9F}"/>
              </c:ext>
            </c:extLst>
          </c:dPt>
          <c:dPt>
            <c:idx val="3"/>
            <c:bubble3D val="0"/>
            <c:spPr>
              <a:gradFill>
                <a:gsLst>
                  <a:gs pos="0">
                    <a:srgbClr val="10123A"/>
                  </a:gs>
                  <a:gs pos="100000">
                    <a:srgbClr val="3366FF"/>
                  </a:gs>
                </a:gsLst>
                <a:lin ang="1800000" scaled="0"/>
              </a:gradFill>
              <a:ln w="19050">
                <a:noFill/>
              </a:ln>
              <a:effectLst/>
            </c:spPr>
            <c:extLst>
              <c:ext xmlns:c16="http://schemas.microsoft.com/office/drawing/2014/chart" uri="{C3380CC4-5D6E-409C-BE32-E72D297353CC}">
                <c16:uniqueId val="{00000014-4399-491A-9261-BD4E633A2D9F}"/>
              </c:ext>
            </c:extLst>
          </c:dPt>
          <c:dPt>
            <c:idx val="4"/>
            <c:bubble3D val="0"/>
            <c:spPr>
              <a:noFill/>
              <a:ln w="19050">
                <a:noFill/>
              </a:ln>
              <a:effectLst/>
            </c:spPr>
            <c:extLst>
              <c:ext xmlns:c16="http://schemas.microsoft.com/office/drawing/2014/chart" uri="{C3380CC4-5D6E-409C-BE32-E72D297353CC}">
                <c16:uniqueId val="{00000016-4399-491A-9261-BD4E633A2D9F}"/>
              </c:ext>
            </c:extLst>
          </c:dPt>
          <c:dPt>
            <c:idx val="5"/>
            <c:bubble3D val="0"/>
            <c:spPr>
              <a:noFill/>
              <a:ln w="19050">
                <a:noFill/>
              </a:ln>
              <a:effectLst/>
            </c:spPr>
            <c:extLst>
              <c:ext xmlns:c16="http://schemas.microsoft.com/office/drawing/2014/chart" uri="{C3380CC4-5D6E-409C-BE32-E72D297353CC}">
                <c16:uniqueId val="{00000018-4399-491A-9261-BD4E633A2D9F}"/>
              </c:ext>
            </c:extLst>
          </c:dPt>
          <c:cat>
            <c:strRef>
              <c:f>Processing!$M$25:$M$29</c:f>
              <c:strCache>
                <c:ptCount val="5"/>
                <c:pt idx="0">
                  <c:v>Business</c:v>
                </c:pt>
                <c:pt idx="1">
                  <c:v>Securities</c:v>
                </c:pt>
                <c:pt idx="2">
                  <c:v> Crypto</c:v>
                </c:pt>
                <c:pt idx="3">
                  <c:v>Rent</c:v>
                </c:pt>
                <c:pt idx="4">
                  <c:v>Gold</c:v>
                </c:pt>
              </c:strCache>
            </c:strRef>
          </c:cat>
          <c:val>
            <c:numRef>
              <c:f>Processing!$I$25:$I$30</c:f>
              <c:numCache>
                <c:formatCode>0%</c:formatCode>
                <c:ptCount val="6"/>
                <c:pt idx="0">
                  <c:v>0.20106524633821571</c:v>
                </c:pt>
                <c:pt idx="1">
                  <c:v>0.23861517976031954</c:v>
                </c:pt>
                <c:pt idx="2">
                  <c:v>0.17896138482023966</c:v>
                </c:pt>
                <c:pt idx="3">
                  <c:v>0.19573901464713714</c:v>
                </c:pt>
                <c:pt idx="4">
                  <c:v>0.18561917443408787</c:v>
                </c:pt>
                <c:pt idx="5">
                  <c:v>1</c:v>
                </c:pt>
              </c:numCache>
            </c:numRef>
          </c:val>
          <c:extLst>
            <c:ext xmlns:c16="http://schemas.microsoft.com/office/drawing/2014/chart" uri="{C3380CC4-5D6E-409C-BE32-E72D297353CC}">
              <c16:uniqueId val="{00000019-4399-491A-9261-BD4E633A2D9F}"/>
            </c:ext>
          </c:extLst>
        </c:ser>
        <c:ser>
          <c:idx val="2"/>
          <c:order val="2"/>
          <c:spPr>
            <a:ln>
              <a:noFill/>
            </a:ln>
          </c:spPr>
          <c:dPt>
            <c:idx val="0"/>
            <c:bubble3D val="0"/>
            <c:spPr>
              <a:gradFill>
                <a:gsLst>
                  <a:gs pos="100000">
                    <a:srgbClr val="4355D9"/>
                  </a:gs>
                  <a:gs pos="43000">
                    <a:srgbClr val="8D76FC"/>
                  </a:gs>
                </a:gsLst>
                <a:lin ang="5400000" scaled="1"/>
              </a:gradFill>
              <a:ln w="19050">
                <a:noFill/>
              </a:ln>
              <a:effectLst/>
            </c:spPr>
            <c:extLst>
              <c:ext xmlns:c16="http://schemas.microsoft.com/office/drawing/2014/chart" uri="{C3380CC4-5D6E-409C-BE32-E72D297353CC}">
                <c16:uniqueId val="{0000001B-4399-491A-9261-BD4E633A2D9F}"/>
              </c:ext>
            </c:extLst>
          </c:dPt>
          <c:dPt>
            <c:idx val="1"/>
            <c:bubble3D val="0"/>
            <c:spPr>
              <a:gradFill>
                <a:gsLst>
                  <a:gs pos="0">
                    <a:srgbClr val="4355D9"/>
                  </a:gs>
                  <a:gs pos="60000">
                    <a:srgbClr val="00B0F0"/>
                  </a:gs>
                </a:gsLst>
                <a:lin ang="1800000" scaled="0"/>
              </a:gradFill>
              <a:ln w="19050">
                <a:noFill/>
              </a:ln>
              <a:effectLst/>
            </c:spPr>
            <c:extLst>
              <c:ext xmlns:c16="http://schemas.microsoft.com/office/drawing/2014/chart" uri="{C3380CC4-5D6E-409C-BE32-E72D297353CC}">
                <c16:uniqueId val="{0000001D-4399-491A-9261-BD4E633A2D9F}"/>
              </c:ext>
            </c:extLst>
          </c:dPt>
          <c:dPt>
            <c:idx val="2"/>
            <c:bubble3D val="0"/>
            <c:spPr>
              <a:gradFill>
                <a:gsLst>
                  <a:gs pos="0">
                    <a:srgbClr val="4355D9"/>
                  </a:gs>
                  <a:gs pos="60000">
                    <a:srgbClr val="3366FF"/>
                  </a:gs>
                </a:gsLst>
                <a:lin ang="1800000" scaled="0"/>
              </a:gradFill>
              <a:ln w="19050">
                <a:noFill/>
              </a:ln>
              <a:effectLst/>
            </c:spPr>
            <c:extLst>
              <c:ext xmlns:c16="http://schemas.microsoft.com/office/drawing/2014/chart" uri="{C3380CC4-5D6E-409C-BE32-E72D297353CC}">
                <c16:uniqueId val="{0000001F-4399-491A-9261-BD4E633A2D9F}"/>
              </c:ext>
            </c:extLst>
          </c:dPt>
          <c:dPt>
            <c:idx val="3"/>
            <c:bubble3D val="0"/>
            <c:spPr>
              <a:noFill/>
              <a:ln w="19050">
                <a:noFill/>
              </a:ln>
              <a:effectLst/>
            </c:spPr>
            <c:extLst>
              <c:ext xmlns:c16="http://schemas.microsoft.com/office/drawing/2014/chart" uri="{C3380CC4-5D6E-409C-BE32-E72D297353CC}">
                <c16:uniqueId val="{00000021-4399-491A-9261-BD4E633A2D9F}"/>
              </c:ext>
            </c:extLst>
          </c:dPt>
          <c:dPt>
            <c:idx val="4"/>
            <c:bubble3D val="0"/>
            <c:spPr>
              <a:noFill/>
              <a:ln w="19050">
                <a:noFill/>
              </a:ln>
              <a:effectLst/>
            </c:spPr>
            <c:extLst>
              <c:ext xmlns:c16="http://schemas.microsoft.com/office/drawing/2014/chart" uri="{C3380CC4-5D6E-409C-BE32-E72D297353CC}">
                <c16:uniqueId val="{00000023-4399-491A-9261-BD4E633A2D9F}"/>
              </c:ext>
            </c:extLst>
          </c:dPt>
          <c:dPt>
            <c:idx val="5"/>
            <c:bubble3D val="0"/>
            <c:spPr>
              <a:noFill/>
              <a:ln w="19050">
                <a:noFill/>
              </a:ln>
              <a:effectLst/>
            </c:spPr>
            <c:extLst>
              <c:ext xmlns:c16="http://schemas.microsoft.com/office/drawing/2014/chart" uri="{C3380CC4-5D6E-409C-BE32-E72D297353CC}">
                <c16:uniqueId val="{00000025-4399-491A-9261-BD4E633A2D9F}"/>
              </c:ext>
            </c:extLst>
          </c:dPt>
          <c:cat>
            <c:strRef>
              <c:f>Processing!$M$25:$M$29</c:f>
              <c:strCache>
                <c:ptCount val="5"/>
                <c:pt idx="0">
                  <c:v>Business</c:v>
                </c:pt>
                <c:pt idx="1">
                  <c:v>Securities</c:v>
                </c:pt>
                <c:pt idx="2">
                  <c:v> Crypto</c:v>
                </c:pt>
                <c:pt idx="3">
                  <c:v>Rent</c:v>
                </c:pt>
                <c:pt idx="4">
                  <c:v>Gold</c:v>
                </c:pt>
              </c:strCache>
            </c:strRef>
          </c:cat>
          <c:val>
            <c:numRef>
              <c:f>Processing!$J$25:$J$30</c:f>
              <c:numCache>
                <c:formatCode>0%</c:formatCode>
                <c:ptCount val="6"/>
                <c:pt idx="0">
                  <c:v>0.20106524633821571</c:v>
                </c:pt>
                <c:pt idx="1">
                  <c:v>0.23861517976031954</c:v>
                </c:pt>
                <c:pt idx="2">
                  <c:v>0.17896138482023966</c:v>
                </c:pt>
                <c:pt idx="3">
                  <c:v>0.19573901464713714</c:v>
                </c:pt>
                <c:pt idx="4">
                  <c:v>0.18561917443408787</c:v>
                </c:pt>
                <c:pt idx="5">
                  <c:v>1</c:v>
                </c:pt>
              </c:numCache>
            </c:numRef>
          </c:val>
          <c:extLst>
            <c:ext xmlns:c16="http://schemas.microsoft.com/office/drawing/2014/chart" uri="{C3380CC4-5D6E-409C-BE32-E72D297353CC}">
              <c16:uniqueId val="{00000026-4399-491A-9261-BD4E633A2D9F}"/>
            </c:ext>
          </c:extLst>
        </c:ser>
        <c:ser>
          <c:idx val="3"/>
          <c:order val="3"/>
          <c:spPr>
            <a:ln>
              <a:noFill/>
            </a:ln>
          </c:spPr>
          <c:dPt>
            <c:idx val="0"/>
            <c:bubble3D val="0"/>
            <c:spPr>
              <a:gradFill>
                <a:gsLst>
                  <a:gs pos="100000">
                    <a:srgbClr val="4355D9"/>
                  </a:gs>
                  <a:gs pos="43000">
                    <a:srgbClr val="8D76FC"/>
                  </a:gs>
                </a:gsLst>
                <a:lin ang="5400000" scaled="1"/>
              </a:gradFill>
              <a:ln w="19050">
                <a:noFill/>
              </a:ln>
              <a:effectLst/>
            </c:spPr>
            <c:extLst>
              <c:ext xmlns:c16="http://schemas.microsoft.com/office/drawing/2014/chart" uri="{C3380CC4-5D6E-409C-BE32-E72D297353CC}">
                <c16:uniqueId val="{00000028-4399-491A-9261-BD4E633A2D9F}"/>
              </c:ext>
            </c:extLst>
          </c:dPt>
          <c:dPt>
            <c:idx val="1"/>
            <c:bubble3D val="0"/>
            <c:spPr>
              <a:gradFill>
                <a:gsLst>
                  <a:gs pos="0">
                    <a:srgbClr val="4355D9"/>
                  </a:gs>
                  <a:gs pos="60000">
                    <a:srgbClr val="00B0F0"/>
                  </a:gs>
                </a:gsLst>
                <a:lin ang="1800000" scaled="0"/>
              </a:gradFill>
              <a:ln w="19050">
                <a:noFill/>
              </a:ln>
              <a:effectLst/>
            </c:spPr>
            <c:extLst>
              <c:ext xmlns:c16="http://schemas.microsoft.com/office/drawing/2014/chart" uri="{C3380CC4-5D6E-409C-BE32-E72D297353CC}">
                <c16:uniqueId val="{0000002A-4399-491A-9261-BD4E633A2D9F}"/>
              </c:ext>
            </c:extLst>
          </c:dPt>
          <c:dPt>
            <c:idx val="2"/>
            <c:bubble3D val="0"/>
            <c:spPr>
              <a:noFill/>
              <a:ln w="19050">
                <a:noFill/>
              </a:ln>
              <a:effectLst/>
            </c:spPr>
            <c:extLst>
              <c:ext xmlns:c16="http://schemas.microsoft.com/office/drawing/2014/chart" uri="{C3380CC4-5D6E-409C-BE32-E72D297353CC}">
                <c16:uniqueId val="{0000002C-4399-491A-9261-BD4E633A2D9F}"/>
              </c:ext>
            </c:extLst>
          </c:dPt>
          <c:dPt>
            <c:idx val="3"/>
            <c:bubble3D val="0"/>
            <c:spPr>
              <a:noFill/>
              <a:ln w="19050">
                <a:noFill/>
              </a:ln>
              <a:effectLst/>
            </c:spPr>
            <c:extLst>
              <c:ext xmlns:c16="http://schemas.microsoft.com/office/drawing/2014/chart" uri="{C3380CC4-5D6E-409C-BE32-E72D297353CC}">
                <c16:uniqueId val="{0000002E-4399-491A-9261-BD4E633A2D9F}"/>
              </c:ext>
            </c:extLst>
          </c:dPt>
          <c:dPt>
            <c:idx val="4"/>
            <c:bubble3D val="0"/>
            <c:spPr>
              <a:noFill/>
              <a:ln w="19050">
                <a:noFill/>
              </a:ln>
              <a:effectLst/>
            </c:spPr>
            <c:extLst>
              <c:ext xmlns:c16="http://schemas.microsoft.com/office/drawing/2014/chart" uri="{C3380CC4-5D6E-409C-BE32-E72D297353CC}">
                <c16:uniqueId val="{00000030-4399-491A-9261-BD4E633A2D9F}"/>
              </c:ext>
            </c:extLst>
          </c:dPt>
          <c:dPt>
            <c:idx val="5"/>
            <c:bubble3D val="0"/>
            <c:spPr>
              <a:noFill/>
              <a:ln w="19050">
                <a:noFill/>
              </a:ln>
              <a:effectLst/>
            </c:spPr>
            <c:extLst>
              <c:ext xmlns:c16="http://schemas.microsoft.com/office/drawing/2014/chart" uri="{C3380CC4-5D6E-409C-BE32-E72D297353CC}">
                <c16:uniqueId val="{00000032-4399-491A-9261-BD4E633A2D9F}"/>
              </c:ext>
            </c:extLst>
          </c:dPt>
          <c:cat>
            <c:strRef>
              <c:f>Processing!$M$25:$M$29</c:f>
              <c:strCache>
                <c:ptCount val="5"/>
                <c:pt idx="0">
                  <c:v>Business</c:v>
                </c:pt>
                <c:pt idx="1">
                  <c:v>Securities</c:v>
                </c:pt>
                <c:pt idx="2">
                  <c:v> Crypto</c:v>
                </c:pt>
                <c:pt idx="3">
                  <c:v>Rent</c:v>
                </c:pt>
                <c:pt idx="4">
                  <c:v>Gold</c:v>
                </c:pt>
              </c:strCache>
            </c:strRef>
          </c:cat>
          <c:val>
            <c:numRef>
              <c:f>Processing!$K$25:$K$30</c:f>
              <c:numCache>
                <c:formatCode>0%</c:formatCode>
                <c:ptCount val="6"/>
                <c:pt idx="0">
                  <c:v>0.20106524633821571</c:v>
                </c:pt>
                <c:pt idx="1">
                  <c:v>0.23861517976031954</c:v>
                </c:pt>
                <c:pt idx="2">
                  <c:v>0.17896138482023966</c:v>
                </c:pt>
                <c:pt idx="3">
                  <c:v>0.19573901464713714</c:v>
                </c:pt>
                <c:pt idx="4">
                  <c:v>0.18561917443408787</c:v>
                </c:pt>
                <c:pt idx="5">
                  <c:v>1</c:v>
                </c:pt>
              </c:numCache>
            </c:numRef>
          </c:val>
          <c:extLst>
            <c:ext xmlns:c16="http://schemas.microsoft.com/office/drawing/2014/chart" uri="{C3380CC4-5D6E-409C-BE32-E72D297353CC}">
              <c16:uniqueId val="{00000033-4399-491A-9261-BD4E633A2D9F}"/>
            </c:ext>
          </c:extLst>
        </c:ser>
        <c:ser>
          <c:idx val="4"/>
          <c:order val="4"/>
          <c:spPr>
            <a:ln>
              <a:noFill/>
            </a:ln>
          </c:spPr>
          <c:dPt>
            <c:idx val="0"/>
            <c:bubble3D val="0"/>
            <c:spPr>
              <a:gradFill>
                <a:gsLst>
                  <a:gs pos="100000">
                    <a:srgbClr val="4355D9"/>
                  </a:gs>
                  <a:gs pos="43000">
                    <a:srgbClr val="8D76FC"/>
                  </a:gs>
                </a:gsLst>
                <a:lin ang="5400000" scaled="1"/>
              </a:gradFill>
              <a:ln w="19050">
                <a:noFill/>
              </a:ln>
              <a:effectLst/>
            </c:spPr>
            <c:extLst>
              <c:ext xmlns:c16="http://schemas.microsoft.com/office/drawing/2014/chart" uri="{C3380CC4-5D6E-409C-BE32-E72D297353CC}">
                <c16:uniqueId val="{00000035-4399-491A-9261-BD4E633A2D9F}"/>
              </c:ext>
            </c:extLst>
          </c:dPt>
          <c:dPt>
            <c:idx val="1"/>
            <c:bubble3D val="0"/>
            <c:spPr>
              <a:noFill/>
              <a:ln w="19050">
                <a:noFill/>
              </a:ln>
              <a:effectLst/>
            </c:spPr>
            <c:extLst>
              <c:ext xmlns:c16="http://schemas.microsoft.com/office/drawing/2014/chart" uri="{C3380CC4-5D6E-409C-BE32-E72D297353CC}">
                <c16:uniqueId val="{00000037-4399-491A-9261-BD4E633A2D9F}"/>
              </c:ext>
            </c:extLst>
          </c:dPt>
          <c:dPt>
            <c:idx val="2"/>
            <c:bubble3D val="0"/>
            <c:spPr>
              <a:noFill/>
              <a:ln w="19050">
                <a:noFill/>
              </a:ln>
              <a:effectLst/>
            </c:spPr>
            <c:extLst>
              <c:ext xmlns:c16="http://schemas.microsoft.com/office/drawing/2014/chart" uri="{C3380CC4-5D6E-409C-BE32-E72D297353CC}">
                <c16:uniqueId val="{00000039-4399-491A-9261-BD4E633A2D9F}"/>
              </c:ext>
            </c:extLst>
          </c:dPt>
          <c:dPt>
            <c:idx val="3"/>
            <c:bubble3D val="0"/>
            <c:spPr>
              <a:noFill/>
              <a:ln w="19050">
                <a:noFill/>
              </a:ln>
              <a:effectLst/>
            </c:spPr>
            <c:extLst>
              <c:ext xmlns:c16="http://schemas.microsoft.com/office/drawing/2014/chart" uri="{C3380CC4-5D6E-409C-BE32-E72D297353CC}">
                <c16:uniqueId val="{0000003B-4399-491A-9261-BD4E633A2D9F}"/>
              </c:ext>
            </c:extLst>
          </c:dPt>
          <c:dPt>
            <c:idx val="4"/>
            <c:bubble3D val="0"/>
            <c:spPr>
              <a:noFill/>
              <a:ln w="19050">
                <a:noFill/>
              </a:ln>
              <a:effectLst/>
            </c:spPr>
            <c:extLst>
              <c:ext xmlns:c16="http://schemas.microsoft.com/office/drawing/2014/chart" uri="{C3380CC4-5D6E-409C-BE32-E72D297353CC}">
                <c16:uniqueId val="{0000003D-4399-491A-9261-BD4E633A2D9F}"/>
              </c:ext>
            </c:extLst>
          </c:dPt>
          <c:dPt>
            <c:idx val="5"/>
            <c:bubble3D val="0"/>
            <c:spPr>
              <a:noFill/>
              <a:ln w="19050">
                <a:noFill/>
              </a:ln>
              <a:effectLst/>
            </c:spPr>
            <c:extLst>
              <c:ext xmlns:c16="http://schemas.microsoft.com/office/drawing/2014/chart" uri="{C3380CC4-5D6E-409C-BE32-E72D297353CC}">
                <c16:uniqueId val="{0000003F-4399-491A-9261-BD4E633A2D9F}"/>
              </c:ext>
            </c:extLst>
          </c:dPt>
          <c:cat>
            <c:strRef>
              <c:f>Processing!$M$25:$M$29</c:f>
              <c:strCache>
                <c:ptCount val="5"/>
                <c:pt idx="0">
                  <c:v>Business</c:v>
                </c:pt>
                <c:pt idx="1">
                  <c:v>Securities</c:v>
                </c:pt>
                <c:pt idx="2">
                  <c:v> Crypto</c:v>
                </c:pt>
                <c:pt idx="3">
                  <c:v>Rent</c:v>
                </c:pt>
                <c:pt idx="4">
                  <c:v>Gold</c:v>
                </c:pt>
              </c:strCache>
            </c:strRef>
          </c:cat>
          <c:val>
            <c:numRef>
              <c:f>Processing!$L$25:$L$30</c:f>
              <c:numCache>
                <c:formatCode>0%</c:formatCode>
                <c:ptCount val="6"/>
                <c:pt idx="0">
                  <c:v>0.20106524633821571</c:v>
                </c:pt>
                <c:pt idx="1">
                  <c:v>0.23861517976031954</c:v>
                </c:pt>
                <c:pt idx="2">
                  <c:v>0.17896138482023966</c:v>
                </c:pt>
                <c:pt idx="3">
                  <c:v>0.19573901464713714</c:v>
                </c:pt>
                <c:pt idx="4">
                  <c:v>0.18561917443408787</c:v>
                </c:pt>
                <c:pt idx="5">
                  <c:v>1</c:v>
                </c:pt>
              </c:numCache>
            </c:numRef>
          </c:val>
          <c:extLst>
            <c:ext xmlns:c16="http://schemas.microsoft.com/office/drawing/2014/chart" uri="{C3380CC4-5D6E-409C-BE32-E72D297353CC}">
              <c16:uniqueId val="{00000040-4399-491A-9261-BD4E633A2D9F}"/>
            </c:ext>
          </c:extLst>
        </c:ser>
        <c:dLbls>
          <c:showLegendKey val="0"/>
          <c:showVal val="0"/>
          <c:showCatName val="0"/>
          <c:showSerName val="0"/>
          <c:showPercent val="0"/>
          <c:showBubbleSize val="0"/>
          <c:showLeaderLines val="1"/>
        </c:dLbls>
        <c:firstSliceAng val="270"/>
        <c:holeSize val="30"/>
      </c:doughnutChart>
      <c:spPr>
        <a:noFill/>
        <a:ln w="25400">
          <a:noFill/>
        </a:ln>
        <a:effectLst/>
      </c:spPr>
    </c:plotArea>
    <c:legend>
      <c:legendPos val="b"/>
      <c:layout>
        <c:manualLayout>
          <c:xMode val="edge"/>
          <c:yMode val="edge"/>
          <c:x val="0.21048884514435695"/>
          <c:y val="0.47743000874890645"/>
          <c:w val="0.56522893544602104"/>
          <c:h val="0.1053593660104344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2">
                    <a:lumMod val="25000"/>
                    <a:lumOff val="75000"/>
                  </a:schemeClr>
                </a:solidFill>
                <a:latin typeface="+mn-lt"/>
                <a:ea typeface="+mn-ea"/>
                <a:cs typeface="+mn-cs"/>
              </a:defRPr>
            </a:pPr>
            <a:r>
              <a:rPr lang="en-US" sz="1800">
                <a:solidFill>
                  <a:schemeClr val="tx2">
                    <a:lumMod val="25000"/>
                    <a:lumOff val="75000"/>
                  </a:schemeClr>
                </a:solidFill>
              </a:rPr>
              <a:t>Investmants</a:t>
            </a:r>
            <a:endParaRPr lang="en-US">
              <a:solidFill>
                <a:schemeClr val="tx2">
                  <a:lumMod val="25000"/>
                  <a:lumOff val="75000"/>
                </a:schemeClr>
              </a:solidFill>
            </a:endParaRPr>
          </a:p>
        </c:rich>
      </c:tx>
      <c:layout>
        <c:manualLayout>
          <c:xMode val="edge"/>
          <c:yMode val="edge"/>
          <c:x val="0.3500277777777777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25000"/>
                  <a:lumOff val="7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val>
            <c:numRef>
              <c:f>Processing!$H$25:$L$25</c:f>
              <c:numCache>
                <c:formatCode>0%</c:formatCode>
                <c:ptCount val="5"/>
                <c:pt idx="0">
                  <c:v>0.20106524633821571</c:v>
                </c:pt>
                <c:pt idx="1">
                  <c:v>0.20106524633821571</c:v>
                </c:pt>
                <c:pt idx="2">
                  <c:v>0.20106524633821571</c:v>
                </c:pt>
                <c:pt idx="3">
                  <c:v>0.20106524633821571</c:v>
                </c:pt>
                <c:pt idx="4">
                  <c:v>0.20106524633821571</c:v>
                </c:pt>
              </c:numCache>
            </c:numRef>
          </c:val>
          <c:extLst>
            <c:ext xmlns:c16="http://schemas.microsoft.com/office/drawing/2014/chart" uri="{C3380CC4-5D6E-409C-BE32-E72D297353CC}">
              <c16:uniqueId val="{00000000-3791-4EB6-BF9E-2B3AEC2280F3}"/>
            </c:ext>
          </c:extLst>
        </c:ser>
        <c:ser>
          <c:idx val="1"/>
          <c:order val="1"/>
          <c:spPr>
            <a:solidFill>
              <a:schemeClr val="tx2">
                <a:lumMod val="50000"/>
                <a:lumOff val="50000"/>
              </a:schemeClr>
            </a:solidFill>
            <a:ln>
              <a:noFill/>
            </a:ln>
            <a:effectLst/>
            <a:sp3d/>
          </c:spPr>
          <c:invertIfNegative val="0"/>
          <c:val>
            <c:numRef>
              <c:f>Processing!$H$26:$L$26</c:f>
              <c:numCache>
                <c:formatCode>0%</c:formatCode>
                <c:ptCount val="5"/>
                <c:pt idx="0">
                  <c:v>0.23861517976031954</c:v>
                </c:pt>
                <c:pt idx="1">
                  <c:v>0.23861517976031954</c:v>
                </c:pt>
                <c:pt idx="2">
                  <c:v>0.23861517976031954</c:v>
                </c:pt>
                <c:pt idx="3">
                  <c:v>0.23861517976031954</c:v>
                </c:pt>
                <c:pt idx="4">
                  <c:v>0.23861517976031954</c:v>
                </c:pt>
              </c:numCache>
            </c:numRef>
          </c:val>
          <c:extLst>
            <c:ext xmlns:c16="http://schemas.microsoft.com/office/drawing/2014/chart" uri="{C3380CC4-5D6E-409C-BE32-E72D297353CC}">
              <c16:uniqueId val="{00000001-3791-4EB6-BF9E-2B3AEC2280F3}"/>
            </c:ext>
          </c:extLst>
        </c:ser>
        <c:ser>
          <c:idx val="2"/>
          <c:order val="2"/>
          <c:spPr>
            <a:solidFill>
              <a:srgbClr val="8D76FC"/>
            </a:solidFill>
            <a:ln>
              <a:noFill/>
            </a:ln>
            <a:effectLst/>
            <a:sp3d/>
          </c:spPr>
          <c:invertIfNegative val="0"/>
          <c:val>
            <c:numRef>
              <c:f>Processing!$H$27:$L$27</c:f>
              <c:numCache>
                <c:formatCode>0%</c:formatCode>
                <c:ptCount val="5"/>
                <c:pt idx="0">
                  <c:v>0.17896138482023966</c:v>
                </c:pt>
                <c:pt idx="1">
                  <c:v>0.17896138482023966</c:v>
                </c:pt>
                <c:pt idx="2">
                  <c:v>0.17896138482023966</c:v>
                </c:pt>
                <c:pt idx="3">
                  <c:v>0.17896138482023966</c:v>
                </c:pt>
                <c:pt idx="4">
                  <c:v>0.17896138482023966</c:v>
                </c:pt>
              </c:numCache>
            </c:numRef>
          </c:val>
          <c:extLst>
            <c:ext xmlns:c16="http://schemas.microsoft.com/office/drawing/2014/chart" uri="{C3380CC4-5D6E-409C-BE32-E72D297353CC}">
              <c16:uniqueId val="{00000002-3791-4EB6-BF9E-2B3AEC2280F3}"/>
            </c:ext>
          </c:extLst>
        </c:ser>
        <c:ser>
          <c:idx val="3"/>
          <c:order val="3"/>
          <c:spPr>
            <a:solidFill>
              <a:schemeClr val="accent4"/>
            </a:solidFill>
            <a:ln>
              <a:noFill/>
            </a:ln>
            <a:effectLst/>
            <a:sp3d/>
          </c:spPr>
          <c:invertIfNegative val="0"/>
          <c:val>
            <c:numRef>
              <c:f>Processing!$H$28:$L$28</c:f>
              <c:numCache>
                <c:formatCode>0%</c:formatCode>
                <c:ptCount val="5"/>
                <c:pt idx="0">
                  <c:v>0.19573901464713714</c:v>
                </c:pt>
                <c:pt idx="1">
                  <c:v>0.19573901464713714</c:v>
                </c:pt>
                <c:pt idx="2">
                  <c:v>0.19573901464713714</c:v>
                </c:pt>
                <c:pt idx="3">
                  <c:v>0.19573901464713714</c:v>
                </c:pt>
                <c:pt idx="4">
                  <c:v>0.19573901464713714</c:v>
                </c:pt>
              </c:numCache>
            </c:numRef>
          </c:val>
          <c:extLst>
            <c:ext xmlns:c16="http://schemas.microsoft.com/office/drawing/2014/chart" uri="{C3380CC4-5D6E-409C-BE32-E72D297353CC}">
              <c16:uniqueId val="{00000003-3791-4EB6-BF9E-2B3AEC2280F3}"/>
            </c:ext>
          </c:extLst>
        </c:ser>
        <c:ser>
          <c:idx val="4"/>
          <c:order val="4"/>
          <c:spPr>
            <a:solidFill>
              <a:srgbClr val="3A5CE2"/>
            </a:solidFill>
            <a:ln>
              <a:noFill/>
            </a:ln>
            <a:effectLst/>
            <a:sp3d/>
          </c:spPr>
          <c:invertIfNegative val="0"/>
          <c:val>
            <c:numRef>
              <c:f>Processing!$H$29:$L$29</c:f>
              <c:numCache>
                <c:formatCode>0%</c:formatCode>
                <c:ptCount val="5"/>
                <c:pt idx="0">
                  <c:v>0.18561917443408787</c:v>
                </c:pt>
                <c:pt idx="1">
                  <c:v>0.18561917443408787</c:v>
                </c:pt>
                <c:pt idx="2">
                  <c:v>0.18561917443408787</c:v>
                </c:pt>
                <c:pt idx="3">
                  <c:v>0.18561917443408787</c:v>
                </c:pt>
                <c:pt idx="4">
                  <c:v>0.18561917443408787</c:v>
                </c:pt>
              </c:numCache>
            </c:numRef>
          </c:val>
          <c:extLst>
            <c:ext xmlns:c16="http://schemas.microsoft.com/office/drawing/2014/chart" uri="{C3380CC4-5D6E-409C-BE32-E72D297353CC}">
              <c16:uniqueId val="{00000004-3791-4EB6-BF9E-2B3AEC2280F3}"/>
            </c:ext>
          </c:extLst>
        </c:ser>
        <c:dLbls>
          <c:showLegendKey val="0"/>
          <c:showVal val="0"/>
          <c:showCatName val="0"/>
          <c:showSerName val="0"/>
          <c:showPercent val="0"/>
          <c:showBubbleSize val="0"/>
        </c:dLbls>
        <c:gapWidth val="150"/>
        <c:shape val="box"/>
        <c:axId val="891088432"/>
        <c:axId val="891083392"/>
        <c:axId val="0"/>
      </c:bar3DChart>
      <c:catAx>
        <c:axId val="891088432"/>
        <c:scaling>
          <c:orientation val="minMax"/>
        </c:scaling>
        <c:delete val="1"/>
        <c:axPos val="b"/>
        <c:majorTickMark val="out"/>
        <c:minorTickMark val="none"/>
        <c:tickLblPos val="nextTo"/>
        <c:crossAx val="891083392"/>
        <c:crosses val="autoZero"/>
        <c:auto val="1"/>
        <c:lblAlgn val="ctr"/>
        <c:lblOffset val="100"/>
        <c:noMultiLvlLbl val="0"/>
      </c:catAx>
      <c:valAx>
        <c:axId val="891083392"/>
        <c:scaling>
          <c:orientation val="minMax"/>
        </c:scaling>
        <c:delete val="1"/>
        <c:axPos val="l"/>
        <c:numFmt formatCode="0%" sourceLinked="1"/>
        <c:majorTickMark val="out"/>
        <c:minorTickMark val="none"/>
        <c:tickLblPos val="nextTo"/>
        <c:crossAx val="891088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90320083247126"/>
          <c:y val="0.13750000000000001"/>
          <c:w val="0.44903216682099734"/>
          <c:h val="0.72499999999999998"/>
        </c:manualLayout>
      </c:layout>
      <c:doughnutChart>
        <c:varyColors val="1"/>
        <c:dLbls>
          <c:showLegendKey val="0"/>
          <c:showVal val="0"/>
          <c:showCatName val="0"/>
          <c:showSerName val="0"/>
          <c:showPercent val="0"/>
          <c:showBubbleSize val="0"/>
          <c:showLeaderLines val="0"/>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5344752243254"/>
          <c:y val="0.20345832595610386"/>
          <c:w val="0.70748097112860897"/>
          <c:h val="0.64452037277811258"/>
        </c:manualLayout>
      </c:layout>
      <c:scatterChart>
        <c:scatterStyle val="lineMarker"/>
        <c:varyColors val="0"/>
        <c:ser>
          <c:idx val="0"/>
          <c:order val="0"/>
          <c:tx>
            <c:strRef>
              <c:f>Processing!$M$16</c:f>
              <c:strCache>
                <c:ptCount val="1"/>
                <c:pt idx="0">
                  <c:v>Mortgage</c:v>
                </c:pt>
              </c:strCache>
            </c:strRef>
          </c:tx>
          <c:spPr>
            <a:ln w="25400" cap="rnd">
              <a:noFill/>
              <a:round/>
            </a:ln>
            <a:effectLst/>
          </c:spPr>
          <c:marker>
            <c:symbol val="circle"/>
            <c:size val="25"/>
            <c:spPr>
              <a:solidFill>
                <a:srgbClr val="00B0F0">
                  <a:alpha val="50000"/>
                </a:srgbClr>
              </a:solidFill>
              <a:ln w="9525">
                <a:solidFill>
                  <a:srgbClr val="00B0F0"/>
                </a:solidFill>
              </a:ln>
              <a:effectLst/>
            </c:spPr>
          </c:marker>
          <c:dPt>
            <c:idx val="0"/>
            <c:marker>
              <c:symbol val="circle"/>
              <c:size val="25"/>
              <c:spPr>
                <a:solidFill>
                  <a:srgbClr val="00B0F0">
                    <a:alpha val="50000"/>
                  </a:srgbClr>
                </a:solidFill>
                <a:ln w="9525">
                  <a:solidFill>
                    <a:srgbClr val="00B0F0"/>
                  </a:solidFill>
                </a:ln>
                <a:effectLst/>
              </c:spPr>
            </c:marker>
            <c:bubble3D val="0"/>
            <c:extLst>
              <c:ext xmlns:c16="http://schemas.microsoft.com/office/drawing/2014/chart" uri="{C3380CC4-5D6E-409C-BE32-E72D297353CC}">
                <c16:uniqueId val="{00000000-0A86-40E1-8C1E-423C8E8FD95C}"/>
              </c:ext>
            </c:extLst>
          </c:dPt>
          <c:xVal>
            <c:numRef>
              <c:f>Processing!$N$16</c:f>
              <c:numCache>
                <c:formatCode>0%</c:formatCode>
                <c:ptCount val="1"/>
                <c:pt idx="0">
                  <c:v>0.03</c:v>
                </c:pt>
              </c:numCache>
            </c:numRef>
          </c:xVal>
          <c:yVal>
            <c:numRef>
              <c:f>Processing!$O$16</c:f>
              <c:numCache>
                <c:formatCode>_("$"* #,##0.00_);_("$"* \(#,##0.00\);_("$"* "-"??_);_(@_)</c:formatCode>
                <c:ptCount val="1"/>
                <c:pt idx="0">
                  <c:v>27.35483870967742</c:v>
                </c:pt>
              </c:numCache>
            </c:numRef>
          </c:yVal>
          <c:smooth val="0"/>
          <c:extLst>
            <c:ext xmlns:c16="http://schemas.microsoft.com/office/drawing/2014/chart" uri="{C3380CC4-5D6E-409C-BE32-E72D297353CC}">
              <c16:uniqueId val="{00000001-0A86-40E1-8C1E-423C8E8FD95C}"/>
            </c:ext>
          </c:extLst>
        </c:ser>
        <c:ser>
          <c:idx val="1"/>
          <c:order val="1"/>
          <c:tx>
            <c:strRef>
              <c:f>Processing!$M$17</c:f>
              <c:strCache>
                <c:ptCount val="1"/>
                <c:pt idx="0">
                  <c:v>Car Leasing</c:v>
                </c:pt>
              </c:strCache>
            </c:strRef>
          </c:tx>
          <c:spPr>
            <a:ln w="25400" cap="rnd">
              <a:noFill/>
              <a:round/>
            </a:ln>
            <a:effectLst/>
          </c:spPr>
          <c:marker>
            <c:symbol val="circle"/>
            <c:size val="17"/>
            <c:spPr>
              <a:solidFill>
                <a:srgbClr val="3366FF">
                  <a:alpha val="50000"/>
                </a:srgbClr>
              </a:solidFill>
              <a:ln w="9525">
                <a:solidFill>
                  <a:srgbClr val="3366FF">
                    <a:alpha val="50000"/>
                  </a:srgbClr>
                </a:solidFill>
              </a:ln>
              <a:effectLst/>
            </c:spPr>
          </c:marker>
          <c:xVal>
            <c:numRef>
              <c:f>Processing!$N$17</c:f>
              <c:numCache>
                <c:formatCode>0%</c:formatCode>
                <c:ptCount val="1"/>
                <c:pt idx="0">
                  <c:v>0.1</c:v>
                </c:pt>
              </c:numCache>
            </c:numRef>
          </c:xVal>
          <c:yVal>
            <c:numRef>
              <c:f>Processing!$O$17</c:f>
              <c:numCache>
                <c:formatCode>_("$"* #,##0.00_);_("$"* \(#,##0.00\);_("$"* "-"??_);_(@_)</c:formatCode>
                <c:ptCount val="1"/>
                <c:pt idx="0">
                  <c:v>19</c:v>
                </c:pt>
              </c:numCache>
            </c:numRef>
          </c:yVal>
          <c:smooth val="0"/>
          <c:extLst>
            <c:ext xmlns:c16="http://schemas.microsoft.com/office/drawing/2014/chart" uri="{C3380CC4-5D6E-409C-BE32-E72D297353CC}">
              <c16:uniqueId val="{00000002-0A86-40E1-8C1E-423C8E8FD95C}"/>
            </c:ext>
          </c:extLst>
        </c:ser>
        <c:ser>
          <c:idx val="2"/>
          <c:order val="2"/>
          <c:tx>
            <c:strRef>
              <c:f>Processing!$M$18</c:f>
              <c:strCache>
                <c:ptCount val="1"/>
                <c:pt idx="0">
                  <c:v>Consumer Credit</c:v>
                </c:pt>
              </c:strCache>
            </c:strRef>
          </c:tx>
          <c:spPr>
            <a:ln w="25400" cap="rnd">
              <a:noFill/>
              <a:round/>
            </a:ln>
            <a:effectLst/>
          </c:spPr>
          <c:marker>
            <c:symbol val="circle"/>
            <c:size val="30"/>
            <c:spPr>
              <a:solidFill>
                <a:srgbClr val="8D76FC">
                  <a:alpha val="50000"/>
                </a:srgbClr>
              </a:solidFill>
              <a:ln w="9525">
                <a:solidFill>
                  <a:srgbClr val="8D76FC"/>
                </a:solidFill>
              </a:ln>
              <a:effectLst/>
            </c:spPr>
          </c:marker>
          <c:xVal>
            <c:numRef>
              <c:f>Processing!$N$18</c:f>
              <c:numCache>
                <c:formatCode>0%</c:formatCode>
                <c:ptCount val="1"/>
                <c:pt idx="0">
                  <c:v>0.05</c:v>
                </c:pt>
              </c:numCache>
            </c:numRef>
          </c:xVal>
          <c:yVal>
            <c:numRef>
              <c:f>Processing!$O$18</c:f>
              <c:numCache>
                <c:formatCode>_("$"* #,##0.00_);_("$"* \(#,##0.00\);_("$"* "-"??_);_(@_)</c:formatCode>
                <c:ptCount val="1"/>
                <c:pt idx="0">
                  <c:v>22.741935483870968</c:v>
                </c:pt>
              </c:numCache>
            </c:numRef>
          </c:yVal>
          <c:smooth val="0"/>
          <c:extLst>
            <c:ext xmlns:c16="http://schemas.microsoft.com/office/drawing/2014/chart" uri="{C3380CC4-5D6E-409C-BE32-E72D297353CC}">
              <c16:uniqueId val="{00000003-0A86-40E1-8C1E-423C8E8FD95C}"/>
            </c:ext>
          </c:extLst>
        </c:ser>
        <c:ser>
          <c:idx val="3"/>
          <c:order val="3"/>
          <c:tx>
            <c:strRef>
              <c:f>Processing!$M$19</c:f>
              <c:strCache>
                <c:ptCount val="1"/>
                <c:pt idx="0">
                  <c:v>Credit Card</c:v>
                </c:pt>
              </c:strCache>
            </c:strRef>
          </c:tx>
          <c:spPr>
            <a:ln w="25400" cap="rnd">
              <a:noFill/>
              <a:round/>
            </a:ln>
            <a:effectLst/>
          </c:spPr>
          <c:marker>
            <c:symbol val="circle"/>
            <c:size val="20"/>
            <c:spPr>
              <a:solidFill>
                <a:srgbClr val="AD27FE">
                  <a:alpha val="50000"/>
                </a:srgbClr>
              </a:solidFill>
              <a:ln w="9525">
                <a:solidFill>
                  <a:srgbClr val="AD27FE"/>
                </a:solidFill>
              </a:ln>
              <a:effectLst/>
            </c:spPr>
          </c:marker>
          <c:xVal>
            <c:numRef>
              <c:f>Processing!$N$19</c:f>
              <c:numCache>
                <c:formatCode>0%</c:formatCode>
                <c:ptCount val="1"/>
                <c:pt idx="0">
                  <c:v>7.0000000000000007E-2</c:v>
                </c:pt>
              </c:numCache>
            </c:numRef>
          </c:xVal>
          <c:yVal>
            <c:numRef>
              <c:f>Processing!$O$19</c:f>
              <c:numCache>
                <c:formatCode>_("$"* #,##0.00_);_("$"* \(#,##0.00\);_("$"* "-"??_);_(@_)</c:formatCode>
                <c:ptCount val="1"/>
                <c:pt idx="0">
                  <c:v>26.322580645161292</c:v>
                </c:pt>
              </c:numCache>
            </c:numRef>
          </c:yVal>
          <c:smooth val="0"/>
          <c:extLst>
            <c:ext xmlns:c16="http://schemas.microsoft.com/office/drawing/2014/chart" uri="{C3380CC4-5D6E-409C-BE32-E72D297353CC}">
              <c16:uniqueId val="{00000004-0A86-40E1-8C1E-423C8E8FD95C}"/>
            </c:ext>
          </c:extLst>
        </c:ser>
        <c:ser>
          <c:idx val="4"/>
          <c:order val="4"/>
          <c:spPr>
            <a:ln w="25400" cap="rnd">
              <a:noFill/>
              <a:round/>
            </a:ln>
            <a:effectLst>
              <a:outerShdw blurRad="50800" dist="38100" dir="8100000" algn="tr" rotWithShape="0">
                <a:prstClr val="black">
                  <a:alpha val="40000"/>
                </a:prstClr>
              </a:outerShdw>
            </a:effectLst>
          </c:spPr>
          <c:marker>
            <c:symbol val="circle"/>
            <c:size val="7"/>
            <c:spPr>
              <a:solidFill>
                <a:srgbClr val="00B0F0"/>
              </a:solidFill>
              <a:ln w="9525">
                <a:noFill/>
              </a:ln>
              <a:effectLst>
                <a:outerShdw blurRad="50800" dist="38100" dir="8100000" algn="tr" rotWithShape="0">
                  <a:prstClr val="black">
                    <a:alpha val="40000"/>
                  </a:prstClr>
                </a:outerShdw>
              </a:effectLst>
            </c:spPr>
          </c:marker>
          <c:xVal>
            <c:numRef>
              <c:f>Processing!$N$16</c:f>
              <c:numCache>
                <c:formatCode>0%</c:formatCode>
                <c:ptCount val="1"/>
                <c:pt idx="0">
                  <c:v>0.03</c:v>
                </c:pt>
              </c:numCache>
            </c:numRef>
          </c:xVal>
          <c:yVal>
            <c:numRef>
              <c:f>Processing!$O$16</c:f>
              <c:numCache>
                <c:formatCode>_("$"* #,##0.00_);_("$"* \(#,##0.00\);_("$"* "-"??_);_(@_)</c:formatCode>
                <c:ptCount val="1"/>
                <c:pt idx="0">
                  <c:v>27.35483870967742</c:v>
                </c:pt>
              </c:numCache>
            </c:numRef>
          </c:yVal>
          <c:smooth val="0"/>
          <c:extLst>
            <c:ext xmlns:c16="http://schemas.microsoft.com/office/drawing/2014/chart" uri="{C3380CC4-5D6E-409C-BE32-E72D297353CC}">
              <c16:uniqueId val="{00000005-0A86-40E1-8C1E-423C8E8FD95C}"/>
            </c:ext>
          </c:extLst>
        </c:ser>
        <c:ser>
          <c:idx val="5"/>
          <c:order val="5"/>
          <c:spPr>
            <a:ln w="25400" cap="rnd">
              <a:noFill/>
              <a:round/>
            </a:ln>
            <a:effectLst>
              <a:outerShdw blurRad="50800" dist="38100" dir="8100000" algn="tr" rotWithShape="0">
                <a:prstClr val="black">
                  <a:alpha val="40000"/>
                </a:prstClr>
              </a:outerShdw>
            </a:effectLst>
          </c:spPr>
          <c:marker>
            <c:symbol val="circle"/>
            <c:size val="6"/>
            <c:spPr>
              <a:solidFill>
                <a:srgbClr val="3366FF"/>
              </a:solidFill>
              <a:ln w="9525">
                <a:noFill/>
              </a:ln>
              <a:effectLst>
                <a:outerShdw blurRad="50800" dist="38100" dir="8100000" algn="tr" rotWithShape="0">
                  <a:prstClr val="black">
                    <a:alpha val="40000"/>
                  </a:prstClr>
                </a:outerShdw>
              </a:effectLst>
            </c:spPr>
          </c:marker>
          <c:xVal>
            <c:numRef>
              <c:f>Processing!$N$17</c:f>
              <c:numCache>
                <c:formatCode>0%</c:formatCode>
                <c:ptCount val="1"/>
                <c:pt idx="0">
                  <c:v>0.1</c:v>
                </c:pt>
              </c:numCache>
            </c:numRef>
          </c:xVal>
          <c:yVal>
            <c:numRef>
              <c:f>Processing!$O$17</c:f>
              <c:numCache>
                <c:formatCode>_("$"* #,##0.00_);_("$"* \(#,##0.00\);_("$"* "-"??_);_(@_)</c:formatCode>
                <c:ptCount val="1"/>
                <c:pt idx="0">
                  <c:v>19</c:v>
                </c:pt>
              </c:numCache>
            </c:numRef>
          </c:yVal>
          <c:smooth val="0"/>
          <c:extLst>
            <c:ext xmlns:c16="http://schemas.microsoft.com/office/drawing/2014/chart" uri="{C3380CC4-5D6E-409C-BE32-E72D297353CC}">
              <c16:uniqueId val="{00000006-0A86-40E1-8C1E-423C8E8FD95C}"/>
            </c:ext>
          </c:extLst>
        </c:ser>
        <c:ser>
          <c:idx val="6"/>
          <c:order val="6"/>
          <c:spPr>
            <a:ln w="25400" cap="rnd">
              <a:noFill/>
              <a:round/>
            </a:ln>
            <a:effectLst>
              <a:outerShdw blurRad="50800" dist="38100" dir="8100000" algn="tr" rotWithShape="0">
                <a:prstClr val="black">
                  <a:alpha val="40000"/>
                </a:prstClr>
              </a:outerShdw>
            </a:effectLst>
          </c:spPr>
          <c:marker>
            <c:symbol val="circle"/>
            <c:size val="9"/>
            <c:spPr>
              <a:solidFill>
                <a:srgbClr val="8D76FC"/>
              </a:solidFill>
              <a:ln w="9525">
                <a:noFill/>
              </a:ln>
              <a:effectLst>
                <a:outerShdw blurRad="50800" dist="38100" dir="8100000" algn="tr" rotWithShape="0">
                  <a:prstClr val="black">
                    <a:alpha val="40000"/>
                  </a:prstClr>
                </a:outerShdw>
              </a:effectLst>
            </c:spPr>
          </c:marker>
          <c:xVal>
            <c:numRef>
              <c:f>Processing!$N$18</c:f>
              <c:numCache>
                <c:formatCode>0%</c:formatCode>
                <c:ptCount val="1"/>
                <c:pt idx="0">
                  <c:v>0.05</c:v>
                </c:pt>
              </c:numCache>
            </c:numRef>
          </c:xVal>
          <c:yVal>
            <c:numRef>
              <c:f>Processing!$O$18</c:f>
              <c:numCache>
                <c:formatCode>_("$"* #,##0.00_);_("$"* \(#,##0.00\);_("$"* "-"??_);_(@_)</c:formatCode>
                <c:ptCount val="1"/>
                <c:pt idx="0">
                  <c:v>22.741935483870968</c:v>
                </c:pt>
              </c:numCache>
            </c:numRef>
          </c:yVal>
          <c:smooth val="0"/>
          <c:extLst>
            <c:ext xmlns:c16="http://schemas.microsoft.com/office/drawing/2014/chart" uri="{C3380CC4-5D6E-409C-BE32-E72D297353CC}">
              <c16:uniqueId val="{00000007-0A86-40E1-8C1E-423C8E8FD95C}"/>
            </c:ext>
          </c:extLst>
        </c:ser>
        <c:ser>
          <c:idx val="7"/>
          <c:order val="7"/>
          <c:spPr>
            <a:ln w="25400" cap="rnd">
              <a:noFill/>
              <a:round/>
            </a:ln>
            <a:effectLst>
              <a:outerShdw blurRad="50800" dist="38100" dir="8100000" algn="tr" rotWithShape="0">
                <a:prstClr val="black">
                  <a:alpha val="40000"/>
                </a:prstClr>
              </a:outerShdw>
            </a:effectLst>
          </c:spPr>
          <c:marker>
            <c:symbol val="circle"/>
            <c:size val="8"/>
            <c:spPr>
              <a:solidFill>
                <a:srgbClr val="AD27FE"/>
              </a:solidFill>
              <a:ln w="9525">
                <a:noFill/>
              </a:ln>
              <a:effectLst>
                <a:outerShdw blurRad="50800" dist="38100" dir="8100000" algn="tr" rotWithShape="0">
                  <a:prstClr val="black">
                    <a:alpha val="40000"/>
                  </a:prstClr>
                </a:outerShdw>
              </a:effectLst>
            </c:spPr>
          </c:marker>
          <c:xVal>
            <c:numRef>
              <c:f>Processing!$N$19</c:f>
              <c:numCache>
                <c:formatCode>0%</c:formatCode>
                <c:ptCount val="1"/>
                <c:pt idx="0">
                  <c:v>7.0000000000000007E-2</c:v>
                </c:pt>
              </c:numCache>
            </c:numRef>
          </c:xVal>
          <c:yVal>
            <c:numRef>
              <c:f>Processing!$O$19</c:f>
              <c:numCache>
                <c:formatCode>_("$"* #,##0.00_);_("$"* \(#,##0.00\);_("$"* "-"??_);_(@_)</c:formatCode>
                <c:ptCount val="1"/>
                <c:pt idx="0">
                  <c:v>26.322580645161292</c:v>
                </c:pt>
              </c:numCache>
            </c:numRef>
          </c:yVal>
          <c:smooth val="0"/>
          <c:extLst>
            <c:ext xmlns:c16="http://schemas.microsoft.com/office/drawing/2014/chart" uri="{C3380CC4-5D6E-409C-BE32-E72D297353CC}">
              <c16:uniqueId val="{00000008-0A86-40E1-8C1E-423C8E8FD95C}"/>
            </c:ext>
          </c:extLst>
        </c:ser>
        <c:dLbls>
          <c:showLegendKey val="0"/>
          <c:showVal val="0"/>
          <c:showCatName val="0"/>
          <c:showSerName val="0"/>
          <c:showPercent val="0"/>
          <c:showBubbleSize val="0"/>
        </c:dLbls>
        <c:axId val="860280560"/>
        <c:axId val="860281640"/>
      </c:scatterChart>
      <c:valAx>
        <c:axId val="860280560"/>
        <c:scaling>
          <c:orientation val="minMax"/>
        </c:scaling>
        <c:delete val="1"/>
        <c:axPos val="b"/>
        <c:numFmt formatCode="0%" sourceLinked="1"/>
        <c:majorTickMark val="none"/>
        <c:minorTickMark val="none"/>
        <c:tickLblPos val="nextTo"/>
        <c:crossAx val="860281640"/>
        <c:crosses val="autoZero"/>
        <c:crossBetween val="midCat"/>
      </c:valAx>
      <c:valAx>
        <c:axId val="860281640"/>
        <c:scaling>
          <c:orientation val="minMax"/>
        </c:scaling>
        <c:delete val="1"/>
        <c:axPos val="l"/>
        <c:numFmt formatCode="_(&quot;$&quot;* #,##0.00_);_(&quot;$&quot;* \(#,##0.00\);_(&quot;$&quot;* &quot;-&quot;??_);_(@_)" sourceLinked="1"/>
        <c:majorTickMark val="none"/>
        <c:minorTickMark val="none"/>
        <c:tickLblPos val="nextTo"/>
        <c:crossAx val="860280560"/>
        <c:crosses val="autoZero"/>
        <c:crossBetween val="midCat"/>
      </c:valAx>
      <c:spPr>
        <a:noFill/>
        <a:ln>
          <a:noFill/>
        </a:ln>
        <a:effectLst/>
      </c:spPr>
    </c:plotArea>
    <c:legend>
      <c:legendPos val="r"/>
      <c:legendEntry>
        <c:idx val="4"/>
        <c:delete val="1"/>
      </c:legendEntry>
      <c:legendEntry>
        <c:idx val="5"/>
        <c:delete val="1"/>
      </c:legendEntry>
      <c:legendEntry>
        <c:idx val="6"/>
        <c:delete val="1"/>
      </c:legendEntry>
      <c:legendEntry>
        <c:idx val="7"/>
        <c:delete val="1"/>
      </c:legendEntry>
      <c:layout>
        <c:manualLayout>
          <c:xMode val="edge"/>
          <c:yMode val="edge"/>
          <c:x val="0.68829896847333516"/>
          <c:y val="0.17177200754236019"/>
          <c:w val="0.27517688935191215"/>
          <c:h val="0.762733579925402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681398985485299"/>
          <c:y val="5.6584362139917695E-2"/>
          <c:w val="0.68654869648626216"/>
          <c:h val="0.88683127572016462"/>
        </c:manualLayout>
      </c:layout>
      <c:doughnutChart>
        <c:varyColors val="1"/>
        <c:ser>
          <c:idx val="0"/>
          <c:order val="0"/>
          <c:spPr>
            <a:ln>
              <a:noFill/>
            </a:ln>
          </c:spPr>
          <c:dPt>
            <c:idx val="0"/>
            <c:bubble3D val="0"/>
            <c:spPr>
              <a:gradFill>
                <a:gsLst>
                  <a:gs pos="0">
                    <a:srgbClr val="476BEE"/>
                  </a:gs>
                  <a:gs pos="100000">
                    <a:srgbClr val="3A5CE2"/>
                  </a:gs>
                </a:gsLst>
                <a:lin ang="5400000" scaled="0"/>
              </a:gradFill>
              <a:ln w="19050">
                <a:noFill/>
              </a:ln>
              <a:effectLst/>
            </c:spPr>
            <c:extLst>
              <c:ext xmlns:c16="http://schemas.microsoft.com/office/drawing/2014/chart" uri="{C3380CC4-5D6E-409C-BE32-E72D297353CC}">
                <c16:uniqueId val="{00000001-4274-45AD-91D1-9781A6C0F93B}"/>
              </c:ext>
            </c:extLst>
          </c:dPt>
          <c:dPt>
            <c:idx val="1"/>
            <c:bubble3D val="0"/>
            <c:spPr>
              <a:solidFill>
                <a:srgbClr val="8199F3"/>
              </a:solidFill>
              <a:ln w="19050">
                <a:noFill/>
              </a:ln>
              <a:effectLst/>
            </c:spPr>
            <c:extLst>
              <c:ext xmlns:c16="http://schemas.microsoft.com/office/drawing/2014/chart" uri="{C3380CC4-5D6E-409C-BE32-E72D297353CC}">
                <c16:uniqueId val="{00000003-4274-45AD-91D1-9781A6C0F93B}"/>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05-4274-45AD-91D1-9781A6C0F93B}"/>
              </c:ext>
            </c:extLst>
          </c:dPt>
          <c:dPt>
            <c:idx val="3"/>
            <c:bubble3D val="0"/>
            <c:spPr>
              <a:noFill/>
              <a:ln w="19050">
                <a:noFill/>
              </a:ln>
              <a:effectLst/>
            </c:spPr>
            <c:extLst>
              <c:ext xmlns:c16="http://schemas.microsoft.com/office/drawing/2014/chart" uri="{C3380CC4-5D6E-409C-BE32-E72D297353CC}">
                <c16:uniqueId val="{00000007-4274-45AD-91D1-9781A6C0F93B}"/>
              </c:ext>
            </c:extLst>
          </c:dPt>
          <c:val>
            <c:numRef>
              <c:f>Processing!$B$43:$B$46</c:f>
              <c:numCache>
                <c:formatCode>0%</c:formatCode>
                <c:ptCount val="4"/>
                <c:pt idx="0">
                  <c:v>0.26189516129032259</c:v>
                </c:pt>
                <c:pt idx="1">
                  <c:v>0.11310483870967741</c:v>
                </c:pt>
                <c:pt idx="2">
                  <c:v>0.375</c:v>
                </c:pt>
                <c:pt idx="3">
                  <c:v>0.25</c:v>
                </c:pt>
              </c:numCache>
            </c:numRef>
          </c:val>
          <c:extLst>
            <c:ext xmlns:c16="http://schemas.microsoft.com/office/drawing/2014/chart" uri="{C3380CC4-5D6E-409C-BE32-E72D297353CC}">
              <c16:uniqueId val="{00000008-4274-45AD-91D1-9781A6C0F93B}"/>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A-4274-45AD-91D1-9781A6C0F93B}"/>
              </c:ext>
            </c:extLst>
          </c:dPt>
          <c:dPt>
            <c:idx val="1"/>
            <c:bubble3D val="0"/>
            <c:spPr>
              <a:noFill/>
              <a:ln w="19050">
                <a:noFill/>
              </a:ln>
              <a:effectLst/>
            </c:spPr>
            <c:extLst>
              <c:ext xmlns:c16="http://schemas.microsoft.com/office/drawing/2014/chart" uri="{C3380CC4-5D6E-409C-BE32-E72D297353CC}">
                <c16:uniqueId val="{0000000C-4274-45AD-91D1-9781A6C0F93B}"/>
              </c:ext>
            </c:extLst>
          </c:dPt>
          <c:dPt>
            <c:idx val="2"/>
            <c:bubble3D val="0"/>
            <c:spPr>
              <a:noFill/>
              <a:ln w="19050">
                <a:noFill/>
              </a:ln>
              <a:effectLst/>
            </c:spPr>
            <c:extLst>
              <c:ext xmlns:c16="http://schemas.microsoft.com/office/drawing/2014/chart" uri="{C3380CC4-5D6E-409C-BE32-E72D297353CC}">
                <c16:uniqueId val="{0000000E-4274-45AD-91D1-9781A6C0F93B}"/>
              </c:ext>
            </c:extLst>
          </c:dPt>
          <c:dPt>
            <c:idx val="3"/>
            <c:bubble3D val="0"/>
            <c:spPr>
              <a:noFill/>
              <a:ln w="19050">
                <a:noFill/>
              </a:ln>
              <a:effectLst/>
            </c:spPr>
            <c:extLst>
              <c:ext xmlns:c16="http://schemas.microsoft.com/office/drawing/2014/chart" uri="{C3380CC4-5D6E-409C-BE32-E72D297353CC}">
                <c16:uniqueId val="{00000010-4274-45AD-91D1-9781A6C0F93B}"/>
              </c:ext>
            </c:extLst>
          </c:dPt>
          <c:val>
            <c:numRef>
              <c:f>Processing!$C$43:$C$46</c:f>
              <c:numCache>
                <c:formatCode>0%</c:formatCode>
                <c:ptCount val="4"/>
                <c:pt idx="0">
                  <c:v>0.26189516129032259</c:v>
                </c:pt>
                <c:pt idx="1">
                  <c:v>0.11310483870967741</c:v>
                </c:pt>
                <c:pt idx="2">
                  <c:v>0.375</c:v>
                </c:pt>
                <c:pt idx="3">
                  <c:v>0.25</c:v>
                </c:pt>
              </c:numCache>
            </c:numRef>
          </c:val>
          <c:extLst>
            <c:ext xmlns:c16="http://schemas.microsoft.com/office/drawing/2014/chart" uri="{C3380CC4-5D6E-409C-BE32-E72D297353CC}">
              <c16:uniqueId val="{00000011-4274-45AD-91D1-9781A6C0F93B}"/>
            </c:ext>
          </c:extLst>
        </c:ser>
        <c:ser>
          <c:idx val="2"/>
          <c:order val="2"/>
          <c:spPr>
            <a:ln>
              <a:noFill/>
            </a:ln>
          </c:spPr>
          <c:dPt>
            <c:idx val="0"/>
            <c:bubble3D val="0"/>
            <c:spPr>
              <a:gradFill>
                <a:gsLst>
                  <a:gs pos="0">
                    <a:srgbClr val="476BEE"/>
                  </a:gs>
                  <a:gs pos="100000">
                    <a:srgbClr val="3A5CE2"/>
                  </a:gs>
                </a:gsLst>
                <a:lin ang="5400000" scaled="0"/>
              </a:gradFill>
              <a:ln w="19050">
                <a:noFill/>
              </a:ln>
              <a:effectLst/>
            </c:spPr>
            <c:extLst>
              <c:ext xmlns:c16="http://schemas.microsoft.com/office/drawing/2014/chart" uri="{C3380CC4-5D6E-409C-BE32-E72D297353CC}">
                <c16:uniqueId val="{00000013-4274-45AD-91D1-9781A6C0F93B}"/>
              </c:ext>
            </c:extLst>
          </c:dPt>
          <c:dPt>
            <c:idx val="1"/>
            <c:bubble3D val="0"/>
            <c:spPr>
              <a:solidFill>
                <a:srgbClr val="8199F3"/>
              </a:solidFill>
              <a:ln w="19050">
                <a:noFill/>
              </a:ln>
              <a:effectLst/>
            </c:spPr>
            <c:extLst>
              <c:ext xmlns:c16="http://schemas.microsoft.com/office/drawing/2014/chart" uri="{C3380CC4-5D6E-409C-BE32-E72D297353CC}">
                <c16:uniqueId val="{00000015-4274-45AD-91D1-9781A6C0F93B}"/>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17-4274-45AD-91D1-9781A6C0F93B}"/>
              </c:ext>
            </c:extLst>
          </c:dPt>
          <c:dPt>
            <c:idx val="3"/>
            <c:bubble3D val="0"/>
            <c:spPr>
              <a:noFill/>
              <a:ln w="19050">
                <a:noFill/>
              </a:ln>
              <a:effectLst/>
            </c:spPr>
            <c:extLst>
              <c:ext xmlns:c16="http://schemas.microsoft.com/office/drawing/2014/chart" uri="{C3380CC4-5D6E-409C-BE32-E72D297353CC}">
                <c16:uniqueId val="{00000019-4274-45AD-91D1-9781A6C0F93B}"/>
              </c:ext>
            </c:extLst>
          </c:dPt>
          <c:val>
            <c:numRef>
              <c:f>Processing!$D$43:$D$46</c:f>
              <c:numCache>
                <c:formatCode>0%</c:formatCode>
                <c:ptCount val="4"/>
                <c:pt idx="0">
                  <c:v>0.21048387096774193</c:v>
                </c:pt>
                <c:pt idx="1">
                  <c:v>0.3988911290322581</c:v>
                </c:pt>
                <c:pt idx="2">
                  <c:v>0.140625</c:v>
                </c:pt>
                <c:pt idx="3">
                  <c:v>0.25</c:v>
                </c:pt>
              </c:numCache>
            </c:numRef>
          </c:val>
          <c:extLst>
            <c:ext xmlns:c16="http://schemas.microsoft.com/office/drawing/2014/chart" uri="{C3380CC4-5D6E-409C-BE32-E72D297353CC}">
              <c16:uniqueId val="{0000001A-4274-45AD-91D1-9781A6C0F93B}"/>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C-4274-45AD-91D1-9781A6C0F93B}"/>
              </c:ext>
            </c:extLst>
          </c:dPt>
          <c:dPt>
            <c:idx val="1"/>
            <c:bubble3D val="0"/>
            <c:spPr>
              <a:noFill/>
              <a:ln w="19050">
                <a:noFill/>
              </a:ln>
              <a:effectLst/>
            </c:spPr>
            <c:extLst>
              <c:ext xmlns:c16="http://schemas.microsoft.com/office/drawing/2014/chart" uri="{C3380CC4-5D6E-409C-BE32-E72D297353CC}">
                <c16:uniqueId val="{0000001E-4274-45AD-91D1-9781A6C0F93B}"/>
              </c:ext>
            </c:extLst>
          </c:dPt>
          <c:dPt>
            <c:idx val="2"/>
            <c:bubble3D val="0"/>
            <c:spPr>
              <a:noFill/>
              <a:ln w="19050">
                <a:noFill/>
              </a:ln>
              <a:effectLst/>
            </c:spPr>
            <c:extLst>
              <c:ext xmlns:c16="http://schemas.microsoft.com/office/drawing/2014/chart" uri="{C3380CC4-5D6E-409C-BE32-E72D297353CC}">
                <c16:uniqueId val="{00000020-4274-45AD-91D1-9781A6C0F93B}"/>
              </c:ext>
            </c:extLst>
          </c:dPt>
          <c:dPt>
            <c:idx val="3"/>
            <c:bubble3D val="0"/>
            <c:spPr>
              <a:noFill/>
              <a:ln w="19050">
                <a:noFill/>
              </a:ln>
              <a:effectLst/>
            </c:spPr>
            <c:extLst>
              <c:ext xmlns:c16="http://schemas.microsoft.com/office/drawing/2014/chart" uri="{C3380CC4-5D6E-409C-BE32-E72D297353CC}">
                <c16:uniqueId val="{00000022-4274-45AD-91D1-9781A6C0F93B}"/>
              </c:ext>
            </c:extLst>
          </c:dPt>
          <c:val>
            <c:numRef>
              <c:f>Processing!$E$43:$E$46</c:f>
              <c:numCache>
                <c:formatCode>0%</c:formatCode>
                <c:ptCount val="4"/>
                <c:pt idx="0">
                  <c:v>0.21048387096774193</c:v>
                </c:pt>
                <c:pt idx="1">
                  <c:v>0.3988911290322581</c:v>
                </c:pt>
                <c:pt idx="2">
                  <c:v>0.140625</c:v>
                </c:pt>
                <c:pt idx="3">
                  <c:v>0.25</c:v>
                </c:pt>
              </c:numCache>
            </c:numRef>
          </c:val>
          <c:extLst>
            <c:ext xmlns:c16="http://schemas.microsoft.com/office/drawing/2014/chart" uri="{C3380CC4-5D6E-409C-BE32-E72D297353CC}">
              <c16:uniqueId val="{00000023-4274-45AD-91D1-9781A6C0F93B}"/>
            </c:ext>
          </c:extLst>
        </c:ser>
        <c:ser>
          <c:idx val="4"/>
          <c:order val="4"/>
          <c:spPr>
            <a:ln>
              <a:noFill/>
            </a:ln>
          </c:spPr>
          <c:dPt>
            <c:idx val="0"/>
            <c:bubble3D val="0"/>
            <c:spPr>
              <a:gradFill>
                <a:gsLst>
                  <a:gs pos="0">
                    <a:srgbClr val="476BEE"/>
                  </a:gs>
                  <a:gs pos="100000">
                    <a:srgbClr val="3A5CE2"/>
                  </a:gs>
                </a:gsLst>
                <a:lin ang="5400000" scaled="0"/>
              </a:gradFill>
              <a:ln w="19050">
                <a:noFill/>
              </a:ln>
              <a:effectLst/>
            </c:spPr>
            <c:extLst>
              <c:ext xmlns:c16="http://schemas.microsoft.com/office/drawing/2014/chart" uri="{C3380CC4-5D6E-409C-BE32-E72D297353CC}">
                <c16:uniqueId val="{00000025-4274-45AD-91D1-9781A6C0F93B}"/>
              </c:ext>
            </c:extLst>
          </c:dPt>
          <c:dPt>
            <c:idx val="1"/>
            <c:bubble3D val="0"/>
            <c:spPr>
              <a:solidFill>
                <a:srgbClr val="8199F3"/>
              </a:solidFill>
              <a:ln w="19050">
                <a:noFill/>
              </a:ln>
              <a:effectLst/>
            </c:spPr>
            <c:extLst>
              <c:ext xmlns:c16="http://schemas.microsoft.com/office/drawing/2014/chart" uri="{C3380CC4-5D6E-409C-BE32-E72D297353CC}">
                <c16:uniqueId val="{00000027-4274-45AD-91D1-9781A6C0F93B}"/>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29-4274-45AD-91D1-9781A6C0F93B}"/>
              </c:ext>
            </c:extLst>
          </c:dPt>
          <c:dPt>
            <c:idx val="3"/>
            <c:bubble3D val="0"/>
            <c:spPr>
              <a:noFill/>
              <a:ln w="19050">
                <a:noFill/>
              </a:ln>
              <a:effectLst/>
            </c:spPr>
            <c:extLst>
              <c:ext xmlns:c16="http://schemas.microsoft.com/office/drawing/2014/chart" uri="{C3380CC4-5D6E-409C-BE32-E72D297353CC}">
                <c16:uniqueId val="{0000002B-4274-45AD-91D1-9781A6C0F93B}"/>
              </c:ext>
            </c:extLst>
          </c:dPt>
          <c:val>
            <c:numRef>
              <c:f>Processing!$F$43:$F$46</c:f>
              <c:numCache>
                <c:formatCode>0%</c:formatCode>
                <c:ptCount val="4"/>
                <c:pt idx="0">
                  <c:v>0.24828629032258062</c:v>
                </c:pt>
                <c:pt idx="1">
                  <c:v>0.40796370967741935</c:v>
                </c:pt>
                <c:pt idx="2">
                  <c:v>9.375E-2</c:v>
                </c:pt>
                <c:pt idx="3">
                  <c:v>0.25</c:v>
                </c:pt>
              </c:numCache>
            </c:numRef>
          </c:val>
          <c:extLst>
            <c:ext xmlns:c16="http://schemas.microsoft.com/office/drawing/2014/chart" uri="{C3380CC4-5D6E-409C-BE32-E72D297353CC}">
              <c16:uniqueId val="{0000002C-4274-45AD-91D1-9781A6C0F93B}"/>
            </c:ext>
          </c:extLst>
        </c:ser>
        <c:ser>
          <c:idx val="5"/>
          <c:order val="5"/>
          <c:spPr>
            <a:noFill/>
            <a:ln>
              <a:noFill/>
            </a:ln>
          </c:spPr>
          <c:dPt>
            <c:idx val="0"/>
            <c:bubble3D val="0"/>
            <c:spPr>
              <a:noFill/>
              <a:ln w="19050">
                <a:noFill/>
              </a:ln>
              <a:effectLst/>
            </c:spPr>
            <c:extLst>
              <c:ext xmlns:c16="http://schemas.microsoft.com/office/drawing/2014/chart" uri="{C3380CC4-5D6E-409C-BE32-E72D297353CC}">
                <c16:uniqueId val="{0000002E-4274-45AD-91D1-9781A6C0F93B}"/>
              </c:ext>
            </c:extLst>
          </c:dPt>
          <c:dPt>
            <c:idx val="1"/>
            <c:bubble3D val="0"/>
            <c:spPr>
              <a:noFill/>
              <a:ln w="19050">
                <a:noFill/>
              </a:ln>
              <a:effectLst/>
            </c:spPr>
            <c:extLst>
              <c:ext xmlns:c16="http://schemas.microsoft.com/office/drawing/2014/chart" uri="{C3380CC4-5D6E-409C-BE32-E72D297353CC}">
                <c16:uniqueId val="{00000030-4274-45AD-91D1-9781A6C0F93B}"/>
              </c:ext>
            </c:extLst>
          </c:dPt>
          <c:dPt>
            <c:idx val="2"/>
            <c:bubble3D val="0"/>
            <c:spPr>
              <a:noFill/>
              <a:ln w="19050">
                <a:noFill/>
              </a:ln>
              <a:effectLst/>
            </c:spPr>
            <c:extLst>
              <c:ext xmlns:c16="http://schemas.microsoft.com/office/drawing/2014/chart" uri="{C3380CC4-5D6E-409C-BE32-E72D297353CC}">
                <c16:uniqueId val="{00000032-4274-45AD-91D1-9781A6C0F93B}"/>
              </c:ext>
            </c:extLst>
          </c:dPt>
          <c:dPt>
            <c:idx val="3"/>
            <c:bubble3D val="0"/>
            <c:spPr>
              <a:noFill/>
              <a:ln w="19050">
                <a:noFill/>
              </a:ln>
              <a:effectLst/>
            </c:spPr>
            <c:extLst>
              <c:ext xmlns:c16="http://schemas.microsoft.com/office/drawing/2014/chart" uri="{C3380CC4-5D6E-409C-BE32-E72D297353CC}">
                <c16:uniqueId val="{00000034-4274-45AD-91D1-9781A6C0F93B}"/>
              </c:ext>
            </c:extLst>
          </c:dPt>
          <c:val>
            <c:numRef>
              <c:f>Processing!$G$43:$G$46</c:f>
              <c:numCache>
                <c:formatCode>0%</c:formatCode>
                <c:ptCount val="4"/>
                <c:pt idx="0">
                  <c:v>0.24828629032258062</c:v>
                </c:pt>
                <c:pt idx="1">
                  <c:v>0.40796370967741935</c:v>
                </c:pt>
                <c:pt idx="2">
                  <c:v>9.375E-2</c:v>
                </c:pt>
                <c:pt idx="3">
                  <c:v>0.25</c:v>
                </c:pt>
              </c:numCache>
            </c:numRef>
          </c:val>
          <c:extLst>
            <c:ext xmlns:c16="http://schemas.microsoft.com/office/drawing/2014/chart" uri="{C3380CC4-5D6E-409C-BE32-E72D297353CC}">
              <c16:uniqueId val="{00000035-4274-45AD-91D1-9781A6C0F93B}"/>
            </c:ext>
          </c:extLst>
        </c:ser>
        <c:ser>
          <c:idx val="6"/>
          <c:order val="6"/>
          <c:spPr>
            <a:ln>
              <a:noFill/>
            </a:ln>
          </c:spPr>
          <c:dPt>
            <c:idx val="0"/>
            <c:bubble3D val="0"/>
            <c:spPr>
              <a:gradFill>
                <a:gsLst>
                  <a:gs pos="0">
                    <a:srgbClr val="476BEE"/>
                  </a:gs>
                  <a:gs pos="100000">
                    <a:srgbClr val="3A5CE2"/>
                  </a:gs>
                </a:gsLst>
                <a:lin ang="5400000" scaled="0"/>
              </a:gradFill>
              <a:ln w="19050">
                <a:noFill/>
              </a:ln>
              <a:effectLst/>
            </c:spPr>
            <c:extLst>
              <c:ext xmlns:c16="http://schemas.microsoft.com/office/drawing/2014/chart" uri="{C3380CC4-5D6E-409C-BE32-E72D297353CC}">
                <c16:uniqueId val="{00000037-4274-45AD-91D1-9781A6C0F93B}"/>
              </c:ext>
            </c:extLst>
          </c:dPt>
          <c:dPt>
            <c:idx val="1"/>
            <c:bubble3D val="0"/>
            <c:spPr>
              <a:solidFill>
                <a:srgbClr val="8199F3"/>
              </a:solidFill>
              <a:ln w="19050">
                <a:noFill/>
              </a:ln>
              <a:effectLst/>
            </c:spPr>
            <c:extLst>
              <c:ext xmlns:c16="http://schemas.microsoft.com/office/drawing/2014/chart" uri="{C3380CC4-5D6E-409C-BE32-E72D297353CC}">
                <c16:uniqueId val="{00000039-4274-45AD-91D1-9781A6C0F93B}"/>
              </c:ext>
            </c:extLst>
          </c:dPt>
          <c:dPt>
            <c:idx val="2"/>
            <c:bubble3D val="0"/>
            <c:spPr>
              <a:solidFill>
                <a:schemeClr val="accent3"/>
              </a:solidFill>
              <a:ln w="19050">
                <a:noFill/>
              </a:ln>
              <a:effectLst/>
            </c:spPr>
            <c:extLst>
              <c:ext xmlns:c16="http://schemas.microsoft.com/office/drawing/2014/chart" uri="{C3380CC4-5D6E-409C-BE32-E72D297353CC}">
                <c16:uniqueId val="{0000003B-4274-45AD-91D1-9781A6C0F93B}"/>
              </c:ext>
            </c:extLst>
          </c:dPt>
          <c:dPt>
            <c:idx val="3"/>
            <c:bubble3D val="0"/>
            <c:spPr>
              <a:noFill/>
              <a:ln w="19050">
                <a:noFill/>
              </a:ln>
              <a:effectLst/>
            </c:spPr>
            <c:extLst>
              <c:ext xmlns:c16="http://schemas.microsoft.com/office/drawing/2014/chart" uri="{C3380CC4-5D6E-409C-BE32-E72D297353CC}">
                <c16:uniqueId val="{0000003D-4274-45AD-91D1-9781A6C0F93B}"/>
              </c:ext>
            </c:extLst>
          </c:dPt>
          <c:val>
            <c:numRef>
              <c:f>Processing!$H$43:$H$46</c:f>
              <c:numCache>
                <c:formatCode>0%</c:formatCode>
                <c:ptCount val="4"/>
                <c:pt idx="0">
                  <c:v>0.204133064516129</c:v>
                </c:pt>
                <c:pt idx="1">
                  <c:v>0.545866935483871</c:v>
                </c:pt>
                <c:pt idx="2">
                  <c:v>0</c:v>
                </c:pt>
                <c:pt idx="3">
                  <c:v>0.25</c:v>
                </c:pt>
              </c:numCache>
            </c:numRef>
          </c:val>
          <c:extLst>
            <c:ext xmlns:c16="http://schemas.microsoft.com/office/drawing/2014/chart" uri="{C3380CC4-5D6E-409C-BE32-E72D297353CC}">
              <c16:uniqueId val="{0000003E-4274-45AD-91D1-9781A6C0F93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spPr>
            <a:solidFill>
              <a:schemeClr val="tx2">
                <a:lumMod val="90000"/>
                <a:lumOff val="10000"/>
              </a:schemeClr>
            </a:solidFill>
            <a:ln>
              <a:noFill/>
            </a:ln>
            <a:effectLst/>
          </c:spPr>
          <c:invertIfNegative val="0"/>
          <c:xVal>
            <c:numRef>
              <c:f>Processing!$B$43:$B$46</c:f>
              <c:numCache>
                <c:formatCode>0%</c:formatCode>
                <c:ptCount val="4"/>
                <c:pt idx="0">
                  <c:v>0.26189516129032259</c:v>
                </c:pt>
                <c:pt idx="1">
                  <c:v>0.11310483870967741</c:v>
                </c:pt>
                <c:pt idx="2">
                  <c:v>0.375</c:v>
                </c:pt>
                <c:pt idx="3">
                  <c:v>0.25</c:v>
                </c:pt>
              </c:numCache>
            </c:numRef>
          </c:xVal>
          <c:yVal>
            <c:numRef>
              <c:f>Processing!$C$43:$C$46</c:f>
              <c:numCache>
                <c:formatCode>0%</c:formatCode>
                <c:ptCount val="4"/>
                <c:pt idx="0">
                  <c:v>0.26189516129032259</c:v>
                </c:pt>
                <c:pt idx="1">
                  <c:v>0.11310483870967741</c:v>
                </c:pt>
                <c:pt idx="2">
                  <c:v>0.375</c:v>
                </c:pt>
                <c:pt idx="3">
                  <c:v>0.25</c:v>
                </c:pt>
              </c:numCache>
            </c:numRef>
          </c:yVal>
          <c:bubbleSize>
            <c:numRef>
              <c:f>Processing!$D$43:$D$46</c:f>
              <c:numCache>
                <c:formatCode>0%</c:formatCode>
                <c:ptCount val="4"/>
                <c:pt idx="0">
                  <c:v>0.21048387096774193</c:v>
                </c:pt>
                <c:pt idx="1">
                  <c:v>0.3988911290322581</c:v>
                </c:pt>
                <c:pt idx="2">
                  <c:v>0.140625</c:v>
                </c:pt>
                <c:pt idx="3">
                  <c:v>0.25</c:v>
                </c:pt>
              </c:numCache>
            </c:numRef>
          </c:bubbleSize>
          <c:bubble3D val="1"/>
          <c:extLst>
            <c:ext xmlns:c16="http://schemas.microsoft.com/office/drawing/2014/chart" uri="{C3380CC4-5D6E-409C-BE32-E72D297353CC}">
              <c16:uniqueId val="{00000000-BB90-40B5-8A51-F516B3603B2A}"/>
            </c:ext>
          </c:extLst>
        </c:ser>
        <c:ser>
          <c:idx val="1"/>
          <c:order val="1"/>
          <c:spPr>
            <a:solidFill>
              <a:srgbClr val="6372A4"/>
            </a:solidFill>
            <a:ln w="25400">
              <a:noFill/>
            </a:ln>
            <a:effectLst/>
          </c:spPr>
          <c:invertIfNegative val="0"/>
          <c:xVal>
            <c:numRef>
              <c:f>Processing!$B$43:$B$46</c:f>
              <c:numCache>
                <c:formatCode>0%</c:formatCode>
                <c:ptCount val="4"/>
                <c:pt idx="0">
                  <c:v>0.26189516129032259</c:v>
                </c:pt>
                <c:pt idx="1">
                  <c:v>0.11310483870967741</c:v>
                </c:pt>
                <c:pt idx="2">
                  <c:v>0.375</c:v>
                </c:pt>
                <c:pt idx="3">
                  <c:v>0.25</c:v>
                </c:pt>
              </c:numCache>
            </c:numRef>
          </c:xVal>
          <c:yVal>
            <c:numRef>
              <c:f>Processing!$E$43:$E$46</c:f>
              <c:numCache>
                <c:formatCode>0%</c:formatCode>
                <c:ptCount val="4"/>
                <c:pt idx="0">
                  <c:v>0.21048387096774193</c:v>
                </c:pt>
                <c:pt idx="1">
                  <c:v>0.3988911290322581</c:v>
                </c:pt>
                <c:pt idx="2">
                  <c:v>0.140625</c:v>
                </c:pt>
                <c:pt idx="3">
                  <c:v>0.25</c:v>
                </c:pt>
              </c:numCache>
            </c:numRef>
          </c:yVal>
          <c:bubbleSize>
            <c:numRef>
              <c:f>Processing!$F$43:$F$46</c:f>
              <c:numCache>
                <c:formatCode>0%</c:formatCode>
                <c:ptCount val="4"/>
                <c:pt idx="0">
                  <c:v>0.24828629032258062</c:v>
                </c:pt>
                <c:pt idx="1">
                  <c:v>0.40796370967741935</c:v>
                </c:pt>
                <c:pt idx="2">
                  <c:v>9.375E-2</c:v>
                </c:pt>
                <c:pt idx="3">
                  <c:v>0.25</c:v>
                </c:pt>
              </c:numCache>
            </c:numRef>
          </c:bubbleSize>
          <c:bubble3D val="1"/>
          <c:extLst>
            <c:ext xmlns:c16="http://schemas.microsoft.com/office/drawing/2014/chart" uri="{C3380CC4-5D6E-409C-BE32-E72D297353CC}">
              <c16:uniqueId val="{00000001-BB90-40B5-8A51-F516B3603B2A}"/>
            </c:ext>
          </c:extLst>
        </c:ser>
        <c:ser>
          <c:idx val="2"/>
          <c:order val="2"/>
          <c:spPr>
            <a:solidFill>
              <a:schemeClr val="accent1">
                <a:lumMod val="60000"/>
                <a:lumOff val="40000"/>
              </a:schemeClr>
            </a:solidFill>
            <a:ln w="25400">
              <a:noFill/>
            </a:ln>
            <a:effectLst/>
          </c:spPr>
          <c:invertIfNegative val="0"/>
          <c:xVal>
            <c:numRef>
              <c:f>Processing!$B$43:$B$46</c:f>
              <c:numCache>
                <c:formatCode>0%</c:formatCode>
                <c:ptCount val="4"/>
                <c:pt idx="0">
                  <c:v>0.26189516129032259</c:v>
                </c:pt>
                <c:pt idx="1">
                  <c:v>0.11310483870967741</c:v>
                </c:pt>
                <c:pt idx="2">
                  <c:v>0.375</c:v>
                </c:pt>
                <c:pt idx="3">
                  <c:v>0.25</c:v>
                </c:pt>
              </c:numCache>
            </c:numRef>
          </c:xVal>
          <c:yVal>
            <c:numRef>
              <c:f>Processing!$G$43:$G$46</c:f>
              <c:numCache>
                <c:formatCode>0%</c:formatCode>
                <c:ptCount val="4"/>
                <c:pt idx="0">
                  <c:v>0.24828629032258062</c:v>
                </c:pt>
                <c:pt idx="1">
                  <c:v>0.40796370967741935</c:v>
                </c:pt>
                <c:pt idx="2">
                  <c:v>9.375E-2</c:v>
                </c:pt>
                <c:pt idx="3">
                  <c:v>0.25</c:v>
                </c:pt>
              </c:numCache>
            </c:numRef>
          </c:yVal>
          <c:bubbleSize>
            <c:numRef>
              <c:f>Processing!$H$43:$H$46</c:f>
              <c:numCache>
                <c:formatCode>0%</c:formatCode>
                <c:ptCount val="4"/>
                <c:pt idx="0">
                  <c:v>0.204133064516129</c:v>
                </c:pt>
                <c:pt idx="1">
                  <c:v>0.545866935483871</c:v>
                </c:pt>
                <c:pt idx="2">
                  <c:v>0</c:v>
                </c:pt>
                <c:pt idx="3">
                  <c:v>0.25</c:v>
                </c:pt>
              </c:numCache>
            </c:numRef>
          </c:bubbleSize>
          <c:bubble3D val="1"/>
          <c:extLst>
            <c:ext xmlns:c16="http://schemas.microsoft.com/office/drawing/2014/chart" uri="{C3380CC4-5D6E-409C-BE32-E72D297353CC}">
              <c16:uniqueId val="{00000002-BB90-40B5-8A51-F516B3603B2A}"/>
            </c:ext>
          </c:extLst>
        </c:ser>
        <c:dLbls>
          <c:showLegendKey val="0"/>
          <c:showVal val="0"/>
          <c:showCatName val="0"/>
          <c:showSerName val="0"/>
          <c:showPercent val="0"/>
          <c:showBubbleSize val="0"/>
        </c:dLbls>
        <c:bubbleScale val="100"/>
        <c:showNegBubbles val="0"/>
        <c:axId val="794788944"/>
        <c:axId val="794789304"/>
      </c:bubbleChart>
      <c:valAx>
        <c:axId val="794788944"/>
        <c:scaling>
          <c:orientation val="minMax"/>
        </c:scaling>
        <c:delete val="1"/>
        <c:axPos val="b"/>
        <c:numFmt formatCode="0%" sourceLinked="1"/>
        <c:majorTickMark val="none"/>
        <c:minorTickMark val="none"/>
        <c:tickLblPos val="nextTo"/>
        <c:crossAx val="794789304"/>
        <c:crosses val="autoZero"/>
        <c:crossBetween val="midCat"/>
      </c:valAx>
      <c:valAx>
        <c:axId val="794789304"/>
        <c:scaling>
          <c:orientation val="minMax"/>
        </c:scaling>
        <c:delete val="1"/>
        <c:axPos val="l"/>
        <c:numFmt formatCode="0%" sourceLinked="1"/>
        <c:majorTickMark val="none"/>
        <c:minorTickMark val="none"/>
        <c:tickLblPos val="nextTo"/>
        <c:crossAx val="7947889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Debts</cx:v>
        </cx:txData>
      </cx:tx>
      <cx:txPr>
        <a:bodyPr spcFirstLastPara="1" vertOverflow="ellipsis" horzOverflow="overflow" wrap="square" lIns="0" tIns="0" rIns="0" bIns="0" anchor="ctr" anchorCtr="1"/>
        <a:lstStyle/>
        <a:p>
          <a:pPr algn="ctr" rtl="0">
            <a:defRPr/>
          </a:pPr>
          <a:r>
            <a:rPr lang="en-US" sz="1800" b="0" i="0" u="none" strike="noStrike" baseline="0">
              <a:solidFill>
                <a:schemeClr val="tx2">
                  <a:lumMod val="25000"/>
                  <a:lumOff val="75000"/>
                </a:schemeClr>
              </a:solidFill>
              <a:latin typeface="Aptos Narrow" panose="02110004020202020204"/>
            </a:rPr>
            <a:t>Debts</a:t>
          </a:r>
        </a:p>
      </cx:txPr>
    </cx:title>
    <cx:plotArea>
      <cx:plotAreaRegion>
        <cx:series layoutId="waterfall" uniqueId="{FBE31623-46CB-4C88-88F5-002A43F83405}">
          <cx:dataPt idx="0">
            <cx:spPr>
              <a:solidFill>
                <a:srgbClr val="6372A4"/>
              </a:solidFill>
              <a:ln>
                <a:noFill/>
              </a:ln>
            </cx:spPr>
          </cx:dataPt>
          <cx:dataPt idx="1">
            <cx:spPr>
              <a:solidFill>
                <a:srgbClr val="476BEE"/>
              </a:solidFill>
            </cx:spPr>
          </cx:dataPt>
          <cx:dataPt idx="2">
            <cx:spPr>
              <a:solidFill>
                <a:srgbClr val="0E2841">
                  <a:lumMod val="25000"/>
                  <a:lumOff val="75000"/>
                </a:srgbClr>
              </a:solidFill>
            </cx:spPr>
          </cx:dataPt>
          <cx:dataPt idx="3">
            <cx:spPr>
              <a:solidFill>
                <a:srgbClr val="8D76FC"/>
              </a:solidFill>
            </cx:spPr>
          </cx:dataPt>
          <cx:dataLabels>
            <cx:txPr>
              <a:bodyPr spcFirstLastPara="1" vertOverflow="ellipsis" horzOverflow="overflow" wrap="square" lIns="0" tIns="0" rIns="0" bIns="0" anchor="ctr" anchorCtr="1"/>
              <a:lstStyle/>
              <a:p>
                <a:pPr algn="ctr" rtl="0">
                  <a:defRPr sz="1400">
                    <a:solidFill>
                      <a:schemeClr val="tx2">
                        <a:lumMod val="25000"/>
                        <a:lumOff val="75000"/>
                      </a:schemeClr>
                    </a:solidFill>
                  </a:defRPr>
                </a:pPr>
                <a:endParaRPr lang="en-US" sz="1400" b="0" i="0" u="none" strike="noStrike" baseline="0">
                  <a:solidFill>
                    <a:schemeClr val="tx2">
                      <a:lumMod val="25000"/>
                      <a:lumOff val="75000"/>
                    </a:schemeClr>
                  </a:solidFill>
                  <a:latin typeface="Aptos Narrow" panose="02110004020202020204"/>
                </a:endParaRPr>
              </a:p>
            </cx:txPr>
            <cx:visibility seriesName="0" categoryName="0" value="1"/>
          </cx:dataLabels>
          <cx:dataId val="0"/>
          <cx:layoutPr>
            <cx:subtotals/>
          </cx:layoutPr>
        </cx:series>
      </cx:plotAreaRegion>
      <cx:axis id="0" hidden="1">
        <cx:catScaling gapWidth="0.5"/>
        <cx:tickLabels/>
      </cx:axis>
      <cx:axis id="1" hidden="1">
        <cx:valScaling/>
        <cx:tickLabels/>
      </cx:axis>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hyperlink" Target="#Income!A1"/><Relationship Id="rId18" Type="http://schemas.openxmlformats.org/officeDocument/2006/relationships/image" Target="../media/image15.svg"/><Relationship Id="rId26" Type="http://schemas.openxmlformats.org/officeDocument/2006/relationships/chart" Target="../charts/chart4.xml"/><Relationship Id="rId39" Type="http://schemas.openxmlformats.org/officeDocument/2006/relationships/image" Target="../media/image28.svg"/><Relationship Id="rId21" Type="http://schemas.openxmlformats.org/officeDocument/2006/relationships/image" Target="../media/image17.svg"/><Relationship Id="rId34" Type="http://schemas.openxmlformats.org/officeDocument/2006/relationships/image" Target="../media/image23.png"/><Relationship Id="rId7" Type="http://schemas.openxmlformats.org/officeDocument/2006/relationships/image" Target="../media/image7.svg"/><Relationship Id="rId12" Type="http://schemas.openxmlformats.org/officeDocument/2006/relationships/image" Target="../media/image11.svg"/><Relationship Id="rId17" Type="http://schemas.openxmlformats.org/officeDocument/2006/relationships/image" Target="../media/image14.png"/><Relationship Id="rId25" Type="http://schemas.openxmlformats.org/officeDocument/2006/relationships/chart" Target="../charts/chart3.xml"/><Relationship Id="rId33" Type="http://schemas.openxmlformats.org/officeDocument/2006/relationships/image" Target="../media/image22.svg"/><Relationship Id="rId38" Type="http://schemas.openxmlformats.org/officeDocument/2006/relationships/image" Target="../media/image27.png"/><Relationship Id="rId2" Type="http://schemas.openxmlformats.org/officeDocument/2006/relationships/image" Target="../media/image3.svg"/><Relationship Id="rId16" Type="http://schemas.openxmlformats.org/officeDocument/2006/relationships/hyperlink" Target="#Budegting!A1"/><Relationship Id="rId20" Type="http://schemas.openxmlformats.org/officeDocument/2006/relationships/image" Target="../media/image16.png"/><Relationship Id="rId29" Type="http://schemas.openxmlformats.org/officeDocument/2006/relationships/chart" Target="../charts/chart7.xml"/><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image" Target="../media/image10.png"/><Relationship Id="rId24" Type="http://schemas.openxmlformats.org/officeDocument/2006/relationships/chart" Target="../charts/chart2.xml"/><Relationship Id="rId32" Type="http://schemas.openxmlformats.org/officeDocument/2006/relationships/image" Target="../media/image21.png"/><Relationship Id="rId37" Type="http://schemas.openxmlformats.org/officeDocument/2006/relationships/image" Target="../media/image26.svg"/><Relationship Id="rId5" Type="http://schemas.openxmlformats.org/officeDocument/2006/relationships/hyperlink" Target="#'Fin Goals'!A1"/><Relationship Id="rId15" Type="http://schemas.openxmlformats.org/officeDocument/2006/relationships/image" Target="../media/image13.svg"/><Relationship Id="rId23" Type="http://schemas.openxmlformats.org/officeDocument/2006/relationships/chart" Target="../charts/chart1.xml"/><Relationship Id="rId28" Type="http://schemas.openxmlformats.org/officeDocument/2006/relationships/chart" Target="../charts/chart6.xml"/><Relationship Id="rId36" Type="http://schemas.openxmlformats.org/officeDocument/2006/relationships/image" Target="../media/image25.png"/><Relationship Id="rId10" Type="http://schemas.openxmlformats.org/officeDocument/2006/relationships/image" Target="../media/image9.svg"/><Relationship Id="rId19" Type="http://schemas.openxmlformats.org/officeDocument/2006/relationships/hyperlink" Target="#Debts!A1"/><Relationship Id="rId31" Type="http://schemas.openxmlformats.org/officeDocument/2006/relationships/image" Target="../media/image20.svg"/><Relationship Id="rId4" Type="http://schemas.openxmlformats.org/officeDocument/2006/relationships/image" Target="../media/image5.svg"/><Relationship Id="rId9" Type="http://schemas.openxmlformats.org/officeDocument/2006/relationships/image" Target="../media/image8.png"/><Relationship Id="rId14" Type="http://schemas.openxmlformats.org/officeDocument/2006/relationships/image" Target="../media/image12.png"/><Relationship Id="rId22" Type="http://schemas.openxmlformats.org/officeDocument/2006/relationships/image" Target="../media/image18.png"/><Relationship Id="rId27" Type="http://schemas.openxmlformats.org/officeDocument/2006/relationships/chart" Target="../charts/chart5.xml"/><Relationship Id="rId30" Type="http://schemas.openxmlformats.org/officeDocument/2006/relationships/image" Target="../media/image19.png"/><Relationship Id="rId35" Type="http://schemas.openxmlformats.org/officeDocument/2006/relationships/image" Target="../media/image24.svg"/><Relationship Id="rId8" Type="http://schemas.openxmlformats.org/officeDocument/2006/relationships/hyperlink" Target="#Investmants!A1"/><Relationship Id="rId3" Type="http://schemas.openxmlformats.org/officeDocument/2006/relationships/image" Target="../media/image4.png"/></Relationships>
</file>

<file path=xl/drawings/_rels/drawing3.xml.rels><?xml version="1.0" encoding="UTF-8" standalone="yes"?>
<Relationships xmlns="http://schemas.openxmlformats.org/package/2006/relationships"><Relationship Id="rId13" Type="http://schemas.openxmlformats.org/officeDocument/2006/relationships/image" Target="../media/image11.svg"/><Relationship Id="rId18" Type="http://schemas.openxmlformats.org/officeDocument/2006/relationships/image" Target="../media/image15.svg"/><Relationship Id="rId26" Type="http://schemas.openxmlformats.org/officeDocument/2006/relationships/image" Target="../media/image20.svg"/><Relationship Id="rId3" Type="http://schemas.openxmlformats.org/officeDocument/2006/relationships/hyperlink" Target="#Dashbord!A1"/><Relationship Id="rId21" Type="http://schemas.openxmlformats.org/officeDocument/2006/relationships/image" Target="../media/image17.svg"/><Relationship Id="rId34" Type="http://schemas.openxmlformats.org/officeDocument/2006/relationships/image" Target="../media/image28.svg"/><Relationship Id="rId7" Type="http://schemas.openxmlformats.org/officeDocument/2006/relationships/image" Target="../media/image6.png"/><Relationship Id="rId12" Type="http://schemas.openxmlformats.org/officeDocument/2006/relationships/image" Target="../media/image10.png"/><Relationship Id="rId17" Type="http://schemas.openxmlformats.org/officeDocument/2006/relationships/image" Target="../media/image14.png"/><Relationship Id="rId25" Type="http://schemas.openxmlformats.org/officeDocument/2006/relationships/image" Target="../media/image19.png"/><Relationship Id="rId33" Type="http://schemas.openxmlformats.org/officeDocument/2006/relationships/image" Target="../media/image27.png"/><Relationship Id="rId2" Type="http://schemas.openxmlformats.org/officeDocument/2006/relationships/image" Target="../media/image3.svg"/><Relationship Id="rId16" Type="http://schemas.openxmlformats.org/officeDocument/2006/relationships/image" Target="../media/image13.svg"/><Relationship Id="rId20" Type="http://schemas.openxmlformats.org/officeDocument/2006/relationships/image" Target="../media/image16.png"/><Relationship Id="rId29" Type="http://schemas.openxmlformats.org/officeDocument/2006/relationships/image" Target="../media/image23.png"/><Relationship Id="rId1" Type="http://schemas.openxmlformats.org/officeDocument/2006/relationships/image" Target="../media/image2.png"/><Relationship Id="rId6" Type="http://schemas.openxmlformats.org/officeDocument/2006/relationships/hyperlink" Target="#'Fin Goals'!A1"/><Relationship Id="rId11" Type="http://schemas.openxmlformats.org/officeDocument/2006/relationships/image" Target="../media/image9.svg"/><Relationship Id="rId24" Type="http://schemas.openxmlformats.org/officeDocument/2006/relationships/chart" Target="../charts/chart9.xml"/><Relationship Id="rId32" Type="http://schemas.openxmlformats.org/officeDocument/2006/relationships/image" Target="../media/image26.svg"/><Relationship Id="rId5" Type="http://schemas.openxmlformats.org/officeDocument/2006/relationships/image" Target="../media/image5.svg"/><Relationship Id="rId15" Type="http://schemas.openxmlformats.org/officeDocument/2006/relationships/image" Target="../media/image12.png"/><Relationship Id="rId23" Type="http://schemas.openxmlformats.org/officeDocument/2006/relationships/chart" Target="../charts/chart8.xml"/><Relationship Id="rId28" Type="http://schemas.openxmlformats.org/officeDocument/2006/relationships/image" Target="../media/image22.svg"/><Relationship Id="rId10" Type="http://schemas.openxmlformats.org/officeDocument/2006/relationships/image" Target="../media/image8.png"/><Relationship Id="rId19" Type="http://schemas.openxmlformats.org/officeDocument/2006/relationships/hyperlink" Target="#Debts!A1"/><Relationship Id="rId31" Type="http://schemas.openxmlformats.org/officeDocument/2006/relationships/image" Target="../media/image25.png"/><Relationship Id="rId4" Type="http://schemas.openxmlformats.org/officeDocument/2006/relationships/image" Target="../media/image4.png"/><Relationship Id="rId9" Type="http://schemas.openxmlformats.org/officeDocument/2006/relationships/hyperlink" Target="#Investmants!A1"/><Relationship Id="rId14" Type="http://schemas.openxmlformats.org/officeDocument/2006/relationships/hyperlink" Target="#Income!A1"/><Relationship Id="rId22" Type="http://schemas.openxmlformats.org/officeDocument/2006/relationships/image" Target="../media/image18.png"/><Relationship Id="rId27" Type="http://schemas.openxmlformats.org/officeDocument/2006/relationships/image" Target="../media/image21.png"/><Relationship Id="rId30" Type="http://schemas.openxmlformats.org/officeDocument/2006/relationships/image" Target="../media/image24.svg"/><Relationship Id="rId35" Type="http://schemas.openxmlformats.org/officeDocument/2006/relationships/chart" Target="../charts/chart10.xml"/><Relationship Id="rId8" Type="http://schemas.openxmlformats.org/officeDocument/2006/relationships/image" Target="../media/image7.svg"/></Relationships>
</file>

<file path=xl/drawings/_rels/drawing4.xml.rels><?xml version="1.0" encoding="UTF-8" standalone="yes"?>
<Relationships xmlns="http://schemas.openxmlformats.org/package/2006/relationships"><Relationship Id="rId13" Type="http://schemas.openxmlformats.org/officeDocument/2006/relationships/hyperlink" Target="#Income!A1"/><Relationship Id="rId18" Type="http://schemas.openxmlformats.org/officeDocument/2006/relationships/image" Target="../media/image15.svg"/><Relationship Id="rId26" Type="http://schemas.openxmlformats.org/officeDocument/2006/relationships/image" Target="../media/image21.png"/><Relationship Id="rId3" Type="http://schemas.openxmlformats.org/officeDocument/2006/relationships/hyperlink" Target="#Dashbord!A1"/><Relationship Id="rId21" Type="http://schemas.openxmlformats.org/officeDocument/2006/relationships/image" Target="../media/image17.svg"/><Relationship Id="rId34" Type="http://schemas.openxmlformats.org/officeDocument/2006/relationships/chart" Target="../charts/chart12.xml"/><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image" Target="../media/image14.png"/><Relationship Id="rId25" Type="http://schemas.openxmlformats.org/officeDocument/2006/relationships/image" Target="../media/image20.svg"/><Relationship Id="rId33" Type="http://schemas.openxmlformats.org/officeDocument/2006/relationships/image" Target="../media/image28.svg"/><Relationship Id="rId2" Type="http://schemas.openxmlformats.org/officeDocument/2006/relationships/image" Target="../media/image3.svg"/><Relationship Id="rId16" Type="http://schemas.openxmlformats.org/officeDocument/2006/relationships/hyperlink" Target="#Budegting!A1"/><Relationship Id="rId20" Type="http://schemas.openxmlformats.org/officeDocument/2006/relationships/image" Target="../media/image16.png"/><Relationship Id="rId29" Type="http://schemas.openxmlformats.org/officeDocument/2006/relationships/image" Target="../media/image24.svg"/><Relationship Id="rId1" Type="http://schemas.openxmlformats.org/officeDocument/2006/relationships/image" Target="../media/image2.png"/><Relationship Id="rId6" Type="http://schemas.openxmlformats.org/officeDocument/2006/relationships/hyperlink" Target="#'Fin Goals'!A1"/><Relationship Id="rId11" Type="http://schemas.openxmlformats.org/officeDocument/2006/relationships/image" Target="../media/image10.png"/><Relationship Id="rId24" Type="http://schemas.openxmlformats.org/officeDocument/2006/relationships/image" Target="../media/image19.png"/><Relationship Id="rId32" Type="http://schemas.openxmlformats.org/officeDocument/2006/relationships/image" Target="../media/image27.png"/><Relationship Id="rId5" Type="http://schemas.openxmlformats.org/officeDocument/2006/relationships/image" Target="../media/image5.svg"/><Relationship Id="rId15" Type="http://schemas.openxmlformats.org/officeDocument/2006/relationships/image" Target="../media/image13.svg"/><Relationship Id="rId23" Type="http://schemas.openxmlformats.org/officeDocument/2006/relationships/chart" Target="../charts/chart11.xml"/><Relationship Id="rId28" Type="http://schemas.openxmlformats.org/officeDocument/2006/relationships/image" Target="../media/image23.png"/><Relationship Id="rId10" Type="http://schemas.openxmlformats.org/officeDocument/2006/relationships/image" Target="../media/image9.svg"/><Relationship Id="rId19" Type="http://schemas.openxmlformats.org/officeDocument/2006/relationships/hyperlink" Target="#Debts!A1"/><Relationship Id="rId31" Type="http://schemas.openxmlformats.org/officeDocument/2006/relationships/image" Target="../media/image26.sv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image" Target="../media/image12.png"/><Relationship Id="rId22" Type="http://schemas.openxmlformats.org/officeDocument/2006/relationships/image" Target="../media/image18.png"/><Relationship Id="rId27" Type="http://schemas.openxmlformats.org/officeDocument/2006/relationships/image" Target="../media/image22.svg"/><Relationship Id="rId30" Type="http://schemas.openxmlformats.org/officeDocument/2006/relationships/image" Target="../media/image25.png"/><Relationship Id="rId8" Type="http://schemas.openxmlformats.org/officeDocument/2006/relationships/image" Target="../media/image7.svg"/></Relationships>
</file>

<file path=xl/drawings/_rels/drawing5.xml.rels><?xml version="1.0" encoding="UTF-8" standalone="yes"?>
<Relationships xmlns="http://schemas.openxmlformats.org/package/2006/relationships"><Relationship Id="rId13" Type="http://schemas.openxmlformats.org/officeDocument/2006/relationships/image" Target="../media/image10.png"/><Relationship Id="rId18" Type="http://schemas.openxmlformats.org/officeDocument/2006/relationships/hyperlink" Target="#Budegting!A1"/><Relationship Id="rId26" Type="http://schemas.openxmlformats.org/officeDocument/2006/relationships/image" Target="../media/image19.png"/><Relationship Id="rId3" Type="http://schemas.openxmlformats.org/officeDocument/2006/relationships/hyperlink" Target="#Dashbord!A1"/><Relationship Id="rId21" Type="http://schemas.openxmlformats.org/officeDocument/2006/relationships/image" Target="../media/image16.png"/><Relationship Id="rId34" Type="http://schemas.openxmlformats.org/officeDocument/2006/relationships/image" Target="../media/image27.png"/><Relationship Id="rId7" Type="http://schemas.openxmlformats.org/officeDocument/2006/relationships/image" Target="../media/image6.png"/><Relationship Id="rId12" Type="http://schemas.openxmlformats.org/officeDocument/2006/relationships/hyperlink" Target="#Expensev!A1"/><Relationship Id="rId17" Type="http://schemas.openxmlformats.org/officeDocument/2006/relationships/image" Target="../media/image13.svg"/><Relationship Id="rId25" Type="http://schemas.openxmlformats.org/officeDocument/2006/relationships/chart" Target="../charts/chart14.xml"/><Relationship Id="rId33" Type="http://schemas.openxmlformats.org/officeDocument/2006/relationships/image" Target="../media/image26.svg"/><Relationship Id="rId2" Type="http://schemas.openxmlformats.org/officeDocument/2006/relationships/image" Target="../media/image3.svg"/><Relationship Id="rId16" Type="http://schemas.openxmlformats.org/officeDocument/2006/relationships/image" Target="../media/image12.png"/><Relationship Id="rId20" Type="http://schemas.openxmlformats.org/officeDocument/2006/relationships/image" Target="../media/image15.svg"/><Relationship Id="rId29" Type="http://schemas.openxmlformats.org/officeDocument/2006/relationships/image" Target="../media/image22.svg"/><Relationship Id="rId1" Type="http://schemas.openxmlformats.org/officeDocument/2006/relationships/image" Target="../media/image2.png"/><Relationship Id="rId6" Type="http://schemas.openxmlformats.org/officeDocument/2006/relationships/hyperlink" Target="#'Fin Goals'!A1"/><Relationship Id="rId11" Type="http://schemas.openxmlformats.org/officeDocument/2006/relationships/image" Target="../media/image9.svg"/><Relationship Id="rId24" Type="http://schemas.openxmlformats.org/officeDocument/2006/relationships/chart" Target="../charts/chart13.xml"/><Relationship Id="rId32" Type="http://schemas.openxmlformats.org/officeDocument/2006/relationships/image" Target="../media/image25.png"/><Relationship Id="rId5" Type="http://schemas.openxmlformats.org/officeDocument/2006/relationships/image" Target="../media/image5.svg"/><Relationship Id="rId15" Type="http://schemas.openxmlformats.org/officeDocument/2006/relationships/hyperlink" Target="#Income!A1"/><Relationship Id="rId23" Type="http://schemas.openxmlformats.org/officeDocument/2006/relationships/image" Target="../media/image18.png"/><Relationship Id="rId28" Type="http://schemas.openxmlformats.org/officeDocument/2006/relationships/image" Target="../media/image21.png"/><Relationship Id="rId36" Type="http://schemas.microsoft.com/office/2014/relationships/chartEx" Target="../charts/chartEx1.xml"/><Relationship Id="rId10" Type="http://schemas.openxmlformats.org/officeDocument/2006/relationships/image" Target="../media/image8.png"/><Relationship Id="rId19" Type="http://schemas.openxmlformats.org/officeDocument/2006/relationships/image" Target="../media/image14.png"/><Relationship Id="rId31" Type="http://schemas.openxmlformats.org/officeDocument/2006/relationships/image" Target="../media/image24.svg"/><Relationship Id="rId4" Type="http://schemas.openxmlformats.org/officeDocument/2006/relationships/image" Target="../media/image4.png"/><Relationship Id="rId9" Type="http://schemas.openxmlformats.org/officeDocument/2006/relationships/hyperlink" Target="#Investmants!A1"/><Relationship Id="rId14" Type="http://schemas.openxmlformats.org/officeDocument/2006/relationships/image" Target="../media/image11.svg"/><Relationship Id="rId22" Type="http://schemas.openxmlformats.org/officeDocument/2006/relationships/image" Target="../media/image17.svg"/><Relationship Id="rId27" Type="http://schemas.openxmlformats.org/officeDocument/2006/relationships/image" Target="../media/image20.svg"/><Relationship Id="rId30" Type="http://schemas.openxmlformats.org/officeDocument/2006/relationships/image" Target="../media/image23.png"/><Relationship Id="rId35" Type="http://schemas.openxmlformats.org/officeDocument/2006/relationships/image" Target="../media/image28.svg"/><Relationship Id="rId8" Type="http://schemas.openxmlformats.org/officeDocument/2006/relationships/image" Target="../media/image7.svg"/></Relationships>
</file>

<file path=xl/drawings/_rels/drawing6.xml.rels><?xml version="1.0" encoding="UTF-8" standalone="yes"?>
<Relationships xmlns="http://schemas.openxmlformats.org/package/2006/relationships"><Relationship Id="rId13" Type="http://schemas.openxmlformats.org/officeDocument/2006/relationships/image" Target="../media/image11.svg"/><Relationship Id="rId18" Type="http://schemas.openxmlformats.org/officeDocument/2006/relationships/image" Target="../media/image14.png"/><Relationship Id="rId26" Type="http://schemas.openxmlformats.org/officeDocument/2006/relationships/image" Target="../media/image20.svg"/><Relationship Id="rId3" Type="http://schemas.openxmlformats.org/officeDocument/2006/relationships/hyperlink" Target="#Dashbord!A1"/><Relationship Id="rId21" Type="http://schemas.openxmlformats.org/officeDocument/2006/relationships/image" Target="../media/image16.png"/><Relationship Id="rId34" Type="http://schemas.openxmlformats.org/officeDocument/2006/relationships/image" Target="../media/image28.svg"/><Relationship Id="rId7" Type="http://schemas.openxmlformats.org/officeDocument/2006/relationships/image" Target="../media/image7.svg"/><Relationship Id="rId12" Type="http://schemas.openxmlformats.org/officeDocument/2006/relationships/image" Target="../media/image10.png"/><Relationship Id="rId17" Type="http://schemas.openxmlformats.org/officeDocument/2006/relationships/hyperlink" Target="#Budegting!A1"/><Relationship Id="rId25" Type="http://schemas.openxmlformats.org/officeDocument/2006/relationships/image" Target="../media/image19.png"/><Relationship Id="rId33" Type="http://schemas.openxmlformats.org/officeDocument/2006/relationships/image" Target="../media/image27.png"/><Relationship Id="rId2" Type="http://schemas.openxmlformats.org/officeDocument/2006/relationships/image" Target="../media/image3.svg"/><Relationship Id="rId16" Type="http://schemas.openxmlformats.org/officeDocument/2006/relationships/image" Target="../media/image13.svg"/><Relationship Id="rId20" Type="http://schemas.openxmlformats.org/officeDocument/2006/relationships/hyperlink" Target="#Debts!A1"/><Relationship Id="rId29" Type="http://schemas.openxmlformats.org/officeDocument/2006/relationships/image" Target="../media/image23.pn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hyperlink" Target="#Expensev!A1"/><Relationship Id="rId24" Type="http://schemas.openxmlformats.org/officeDocument/2006/relationships/chart" Target="../charts/chart15.xml"/><Relationship Id="rId32" Type="http://schemas.openxmlformats.org/officeDocument/2006/relationships/image" Target="../media/image26.svg"/><Relationship Id="rId5" Type="http://schemas.openxmlformats.org/officeDocument/2006/relationships/image" Target="../media/image5.svg"/><Relationship Id="rId15" Type="http://schemas.openxmlformats.org/officeDocument/2006/relationships/image" Target="../media/image12.png"/><Relationship Id="rId23" Type="http://schemas.openxmlformats.org/officeDocument/2006/relationships/image" Target="../media/image18.png"/><Relationship Id="rId28" Type="http://schemas.openxmlformats.org/officeDocument/2006/relationships/image" Target="../media/image22.svg"/><Relationship Id="rId10" Type="http://schemas.openxmlformats.org/officeDocument/2006/relationships/image" Target="../media/image9.svg"/><Relationship Id="rId19" Type="http://schemas.openxmlformats.org/officeDocument/2006/relationships/image" Target="../media/image15.svg"/><Relationship Id="rId31" Type="http://schemas.openxmlformats.org/officeDocument/2006/relationships/image" Target="../media/image25.pn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hyperlink" Target="#Income!A1"/><Relationship Id="rId22" Type="http://schemas.openxmlformats.org/officeDocument/2006/relationships/image" Target="../media/image17.svg"/><Relationship Id="rId27" Type="http://schemas.openxmlformats.org/officeDocument/2006/relationships/image" Target="../media/image21.png"/><Relationship Id="rId30" Type="http://schemas.openxmlformats.org/officeDocument/2006/relationships/image" Target="../media/image24.svg"/><Relationship Id="rId35" Type="http://schemas.openxmlformats.org/officeDocument/2006/relationships/chart" Target="../charts/chart16.xml"/><Relationship Id="rId8" Type="http://schemas.openxmlformats.org/officeDocument/2006/relationships/hyperlink" Target="#Investmants!A1"/></Relationships>
</file>

<file path=xl/drawings/drawing1.xml><?xml version="1.0" encoding="utf-8"?>
<xdr:wsDr xmlns:xdr="http://schemas.openxmlformats.org/drawingml/2006/spreadsheetDrawing" xmlns:a="http://schemas.openxmlformats.org/drawingml/2006/main">
  <xdr:twoCellAnchor>
    <xdr:from>
      <xdr:col>3</xdr:col>
      <xdr:colOff>511509</xdr:colOff>
      <xdr:row>0</xdr:row>
      <xdr:rowOff>0</xdr:rowOff>
    </xdr:from>
    <xdr:to>
      <xdr:col>26</xdr:col>
      <xdr:colOff>299961</xdr:colOff>
      <xdr:row>39</xdr:row>
      <xdr:rowOff>133350</xdr:rowOff>
    </xdr:to>
    <xdr:sp macro="" textlink="">
      <xdr:nvSpPr>
        <xdr:cNvPr id="2" name="MyDachbord">
          <a:extLst>
            <a:ext uri="{FF2B5EF4-FFF2-40B4-BE49-F238E27FC236}">
              <a16:creationId xmlns:a16="http://schemas.microsoft.com/office/drawing/2014/main" id="{11FF7752-5AEB-4735-AD35-12EEDED436F2}"/>
            </a:ext>
          </a:extLst>
        </xdr:cNvPr>
        <xdr:cNvSpPr/>
      </xdr:nvSpPr>
      <xdr:spPr>
        <a:xfrm>
          <a:off x="2334866" y="0"/>
          <a:ext cx="13767524" cy="7209064"/>
        </a:xfrm>
        <a:prstGeom prst="roundRect">
          <a:avLst>
            <a:gd name="adj" fmla="val 6771"/>
          </a:avLst>
        </a:prstGeom>
        <a:gradFill flip="none" rotWithShape="1">
          <a:gsLst>
            <a:gs pos="0">
              <a:srgbClr val="1F2357"/>
            </a:gs>
            <a:gs pos="75000">
              <a:srgbClr val="10123B"/>
            </a:gs>
          </a:gsLst>
          <a:lin ang="8100000" scaled="1"/>
          <a:tileRect/>
        </a:gradFill>
        <a:ln w="9525">
          <a:gradFill flip="none" rotWithShape="1">
            <a:gsLst>
              <a:gs pos="0">
                <a:srgbClr val="10123B"/>
              </a:gs>
              <a:gs pos="100000">
                <a:srgbClr val="333787"/>
              </a:gs>
            </a:gsLst>
            <a:lin ang="8100000" scaled="1"/>
            <a:tileRect/>
          </a:gradFill>
        </a:ln>
        <a:effectLst>
          <a:outerShdw blurRad="444500" dist="2032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115285</xdr:colOff>
      <xdr:row>1</xdr:row>
      <xdr:rowOff>73902</xdr:rowOff>
    </xdr:from>
    <xdr:to>
      <xdr:col>25</xdr:col>
      <xdr:colOff>485277</xdr:colOff>
      <xdr:row>37</xdr:row>
      <xdr:rowOff>116522</xdr:rowOff>
    </xdr:to>
    <xdr:sp macro="" textlink="">
      <xdr:nvSpPr>
        <xdr:cNvPr id="3" name="MyDashboard">
          <a:extLst>
            <a:ext uri="{FF2B5EF4-FFF2-40B4-BE49-F238E27FC236}">
              <a16:creationId xmlns:a16="http://schemas.microsoft.com/office/drawing/2014/main" id="{09B75036-C137-486C-A4BB-85ECC83CF007}"/>
            </a:ext>
          </a:extLst>
        </xdr:cNvPr>
        <xdr:cNvSpPr/>
      </xdr:nvSpPr>
      <xdr:spPr>
        <a:xfrm>
          <a:off x="2542396" y="257346"/>
          <a:ext cx="13112325" cy="6646620"/>
        </a:xfrm>
        <a:prstGeom prst="roundRect">
          <a:avLst>
            <a:gd name="adj" fmla="val 8581"/>
          </a:avLst>
        </a:prstGeom>
        <a:gradFill flip="none" rotWithShape="1">
          <a:gsLst>
            <a:gs pos="0">
              <a:srgbClr val="20245A"/>
            </a:gs>
            <a:gs pos="75000">
              <a:srgbClr val="10123B"/>
            </a:gs>
          </a:gsLst>
          <a:lin ang="8100000" scaled="1"/>
          <a:tileRect/>
        </a:gradFill>
        <a:ln w="9525">
          <a:gradFill flip="none" rotWithShape="1">
            <a:gsLst>
              <a:gs pos="0">
                <a:srgbClr val="10123B"/>
              </a:gs>
              <a:gs pos="100000">
                <a:srgbClr val="333787"/>
              </a:gs>
            </a:gsLst>
            <a:lin ang="8100000" scaled="1"/>
            <a:tileRect/>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501950</xdr:colOff>
      <xdr:row>6</xdr:row>
      <xdr:rowOff>152216</xdr:rowOff>
    </xdr:from>
    <xdr:to>
      <xdr:col>6</xdr:col>
      <xdr:colOff>572966</xdr:colOff>
      <xdr:row>35</xdr:row>
      <xdr:rowOff>76333</xdr:rowOff>
    </xdr:to>
    <xdr:sp macro="" textlink="">
      <xdr:nvSpPr>
        <xdr:cNvPr id="4" name="Rectangle: Rounded Corners 3">
          <a:extLst>
            <a:ext uri="{FF2B5EF4-FFF2-40B4-BE49-F238E27FC236}">
              <a16:creationId xmlns:a16="http://schemas.microsoft.com/office/drawing/2014/main" id="{544BC32D-AAB5-44A6-B050-76623B8ECDCD}"/>
            </a:ext>
          </a:extLst>
        </xdr:cNvPr>
        <xdr:cNvSpPr/>
      </xdr:nvSpPr>
      <xdr:spPr>
        <a:xfrm>
          <a:off x="2946700" y="1247591"/>
          <a:ext cx="1293391" cy="5218430"/>
        </a:xfrm>
        <a:prstGeom prst="roundRect">
          <a:avLst>
            <a:gd name="adj" fmla="val 12947"/>
          </a:avLst>
        </a:prstGeom>
        <a:gradFill>
          <a:gsLst>
            <a:gs pos="0">
              <a:srgbClr val="323687"/>
            </a:gs>
            <a:gs pos="41000">
              <a:srgbClr val="181A3C"/>
            </a:gs>
          </a:gsLst>
          <a:lin ang="7800000" scaled="0"/>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xdr:txBody>
    </xdr:sp>
    <xdr:clientData/>
  </xdr:twoCellAnchor>
  <xdr:twoCellAnchor>
    <xdr:from>
      <xdr:col>6</xdr:col>
      <xdr:colOff>606727</xdr:colOff>
      <xdr:row>3</xdr:row>
      <xdr:rowOff>32201</xdr:rowOff>
    </xdr:from>
    <xdr:to>
      <xdr:col>25</xdr:col>
      <xdr:colOff>204984</xdr:colOff>
      <xdr:row>5</xdr:row>
      <xdr:rowOff>108401</xdr:rowOff>
    </xdr:to>
    <xdr:sp macro="" textlink="">
      <xdr:nvSpPr>
        <xdr:cNvPr id="5" name="Rectangle: Rounded Corners 4">
          <a:extLst>
            <a:ext uri="{FF2B5EF4-FFF2-40B4-BE49-F238E27FC236}">
              <a16:creationId xmlns:a16="http://schemas.microsoft.com/office/drawing/2014/main" id="{F1604A7B-E3AA-8525-3DE4-B399CACA2F86}"/>
            </a:ext>
          </a:extLst>
        </xdr:cNvPr>
        <xdr:cNvSpPr/>
      </xdr:nvSpPr>
      <xdr:spPr>
        <a:xfrm>
          <a:off x="4247394" y="582534"/>
          <a:ext cx="11127034" cy="443089"/>
        </a:xfrm>
        <a:prstGeom prst="roundRect">
          <a:avLst>
            <a:gd name="adj" fmla="val 38854"/>
          </a:avLst>
        </a:prstGeom>
        <a:gradFill>
          <a:gsLst>
            <a:gs pos="87935">
              <a:srgbClr val="1B1D45"/>
            </a:gs>
            <a:gs pos="20100">
              <a:srgbClr val="2D3078"/>
            </a:gs>
            <a:gs pos="0">
              <a:srgbClr val="323687"/>
            </a:gs>
            <a:gs pos="100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247045</xdr:colOff>
      <xdr:row>7</xdr:row>
      <xdr:rowOff>14058</xdr:rowOff>
    </xdr:from>
    <xdr:to>
      <xdr:col>16</xdr:col>
      <xdr:colOff>491609</xdr:colOff>
      <xdr:row>20</xdr:row>
      <xdr:rowOff>144732</xdr:rowOff>
    </xdr:to>
    <xdr:sp macro="" textlink="">
      <xdr:nvSpPr>
        <xdr:cNvPr id="6" name="Rectangle: Rounded Corners 5">
          <a:extLst>
            <a:ext uri="{FF2B5EF4-FFF2-40B4-BE49-F238E27FC236}">
              <a16:creationId xmlns:a16="http://schemas.microsoft.com/office/drawing/2014/main" id="{12A4344A-A1AE-44F4-CA8A-64777A250C9A}"/>
            </a:ext>
          </a:extLst>
        </xdr:cNvPr>
        <xdr:cNvSpPr/>
      </xdr:nvSpPr>
      <xdr:spPr>
        <a:xfrm>
          <a:off x="4501545" y="1284058"/>
          <a:ext cx="5714635" cy="2489245"/>
        </a:xfrm>
        <a:prstGeom prst="roundRect">
          <a:avLst>
            <a:gd name="adj" fmla="val 14840"/>
          </a:avLst>
        </a:prstGeom>
        <a:gradFill>
          <a:gsLst>
            <a:gs pos="0">
              <a:srgbClr val="323687"/>
            </a:gs>
            <a:gs pos="88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17</xdr:col>
      <xdr:colOff>85178</xdr:colOff>
      <xdr:row>6</xdr:row>
      <xdr:rowOff>176590</xdr:rowOff>
    </xdr:from>
    <xdr:to>
      <xdr:col>21</xdr:col>
      <xdr:colOff>49620</xdr:colOff>
      <xdr:row>20</xdr:row>
      <xdr:rowOff>114117</xdr:rowOff>
    </xdr:to>
    <xdr:sp macro="" textlink="">
      <xdr:nvSpPr>
        <xdr:cNvPr id="7" name="Rectangle: Rounded Corners 6">
          <a:extLst>
            <a:ext uri="{FF2B5EF4-FFF2-40B4-BE49-F238E27FC236}">
              <a16:creationId xmlns:a16="http://schemas.microsoft.com/office/drawing/2014/main" id="{44988128-6615-375D-2FFF-972F089547F4}"/>
            </a:ext>
          </a:extLst>
        </xdr:cNvPr>
        <xdr:cNvSpPr/>
      </xdr:nvSpPr>
      <xdr:spPr>
        <a:xfrm>
          <a:off x="10475366" y="1271965"/>
          <a:ext cx="2409192" cy="2493402"/>
        </a:xfrm>
        <a:prstGeom prst="roundRect">
          <a:avLst>
            <a:gd name="adj" fmla="val 12661"/>
          </a:avLst>
        </a:prstGeom>
        <a:gradFill>
          <a:gsLst>
            <a:gs pos="0">
              <a:srgbClr val="323687"/>
            </a:gs>
            <a:gs pos="86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223764</xdr:colOff>
      <xdr:row>7</xdr:row>
      <xdr:rowOff>54880</xdr:rowOff>
    </xdr:from>
    <xdr:to>
      <xdr:col>25</xdr:col>
      <xdr:colOff>371084</xdr:colOff>
      <xdr:row>19</xdr:row>
      <xdr:rowOff>54879</xdr:rowOff>
    </xdr:to>
    <xdr:sp macro="" textlink="">
      <xdr:nvSpPr>
        <xdr:cNvPr id="8" name="Rectangle: Rounded Corners 7">
          <a:extLst>
            <a:ext uri="{FF2B5EF4-FFF2-40B4-BE49-F238E27FC236}">
              <a16:creationId xmlns:a16="http://schemas.microsoft.com/office/drawing/2014/main" id="{8993CD55-2A78-47C2-4785-DE6E29B61199}"/>
            </a:ext>
          </a:extLst>
        </xdr:cNvPr>
        <xdr:cNvSpPr/>
      </xdr:nvSpPr>
      <xdr:spPr>
        <a:xfrm>
          <a:off x="12987264" y="1324880"/>
          <a:ext cx="2578463" cy="2177142"/>
        </a:xfrm>
        <a:prstGeom prst="roundRect">
          <a:avLst>
            <a:gd name="adj" fmla="val 11111"/>
          </a:avLst>
        </a:prstGeom>
        <a:gradFill>
          <a:gsLst>
            <a:gs pos="0">
              <a:srgbClr val="323687"/>
            </a:gs>
            <a:gs pos="80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239486</xdr:colOff>
      <xdr:row>21</xdr:row>
      <xdr:rowOff>121356</xdr:rowOff>
    </xdr:from>
    <xdr:to>
      <xdr:col>11</xdr:col>
      <xdr:colOff>249644</xdr:colOff>
      <xdr:row>36</xdr:row>
      <xdr:rowOff>143580</xdr:rowOff>
    </xdr:to>
    <xdr:sp macro="" textlink="">
      <xdr:nvSpPr>
        <xdr:cNvPr id="9" name="Rectangle: Rounded Corners 8">
          <a:extLst>
            <a:ext uri="{FF2B5EF4-FFF2-40B4-BE49-F238E27FC236}">
              <a16:creationId xmlns:a16="http://schemas.microsoft.com/office/drawing/2014/main" id="{702DB7EC-1BB7-86B9-9E42-8E6ACB1C2128}"/>
            </a:ext>
          </a:extLst>
        </xdr:cNvPr>
        <xdr:cNvSpPr/>
      </xdr:nvSpPr>
      <xdr:spPr>
        <a:xfrm>
          <a:off x="4486930" y="3973689"/>
          <a:ext cx="2437270" cy="2773891"/>
        </a:xfrm>
        <a:prstGeom prst="roundRect">
          <a:avLst>
            <a:gd name="adj" fmla="val 10771"/>
          </a:avLst>
        </a:prstGeom>
        <a:gradFill>
          <a:gsLst>
            <a:gs pos="0">
              <a:srgbClr val="323687"/>
            </a:gs>
            <a:gs pos="24000">
              <a:srgbClr val="181A3C"/>
            </a:gs>
          </a:gsLst>
          <a:lin ang="6000000" scaled="0"/>
        </a:gradFill>
        <a:ln w="9525">
          <a:gradFill>
            <a:gsLst>
              <a:gs pos="2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157251</xdr:colOff>
      <xdr:row>21</xdr:row>
      <xdr:rowOff>103187</xdr:rowOff>
    </xdr:from>
    <xdr:to>
      <xdr:col>21</xdr:col>
      <xdr:colOff>67082</xdr:colOff>
      <xdr:row>36</xdr:row>
      <xdr:rowOff>41409</xdr:rowOff>
    </xdr:to>
    <xdr:sp macro="" textlink="">
      <xdr:nvSpPr>
        <xdr:cNvPr id="10" name="Rectangle: Rounded Corners 9">
          <a:extLst>
            <a:ext uri="{FF2B5EF4-FFF2-40B4-BE49-F238E27FC236}">
              <a16:creationId xmlns:a16="http://schemas.microsoft.com/office/drawing/2014/main" id="{DEE1121F-F2EC-EA64-ABDE-60A518F89EDC}"/>
            </a:ext>
          </a:extLst>
        </xdr:cNvPr>
        <xdr:cNvSpPr/>
      </xdr:nvSpPr>
      <xdr:spPr>
        <a:xfrm>
          <a:off x="9881822" y="3913187"/>
          <a:ext cx="2948760" cy="2659651"/>
        </a:xfrm>
        <a:prstGeom prst="roundRect">
          <a:avLst>
            <a:gd name="adj" fmla="val 6746"/>
          </a:avLst>
        </a:prstGeom>
        <a:gradFill>
          <a:gsLst>
            <a:gs pos="0">
              <a:srgbClr val="323687"/>
            </a:gs>
            <a:gs pos="75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226256</xdr:colOff>
      <xdr:row>20</xdr:row>
      <xdr:rowOff>151900</xdr:rowOff>
    </xdr:from>
    <xdr:to>
      <xdr:col>25</xdr:col>
      <xdr:colOff>384159</xdr:colOff>
      <xdr:row>35</xdr:row>
      <xdr:rowOff>174759</xdr:rowOff>
    </xdr:to>
    <xdr:sp macro="" textlink="">
      <xdr:nvSpPr>
        <xdr:cNvPr id="11" name="Rectangle: Rounded Corners 10">
          <a:extLst>
            <a:ext uri="{FF2B5EF4-FFF2-40B4-BE49-F238E27FC236}">
              <a16:creationId xmlns:a16="http://schemas.microsoft.com/office/drawing/2014/main" id="{B27070E1-A238-81B2-5D08-7F02BD6A0FE1}"/>
            </a:ext>
          </a:extLst>
        </xdr:cNvPr>
        <xdr:cNvSpPr/>
      </xdr:nvSpPr>
      <xdr:spPr>
        <a:xfrm>
          <a:off x="13061194" y="3803150"/>
          <a:ext cx="2602653" cy="2761297"/>
        </a:xfrm>
        <a:prstGeom prst="roundRect">
          <a:avLst>
            <a:gd name="adj" fmla="val 13567"/>
          </a:avLst>
        </a:prstGeom>
        <a:gradFill>
          <a:gsLst>
            <a:gs pos="0">
              <a:srgbClr val="323687"/>
            </a:gs>
            <a:gs pos="74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426104</xdr:colOff>
      <xdr:row>21</xdr:row>
      <xdr:rowOff>173314</xdr:rowOff>
    </xdr:from>
    <xdr:to>
      <xdr:col>15</xdr:col>
      <xdr:colOff>596195</xdr:colOff>
      <xdr:row>29</xdr:row>
      <xdr:rowOff>5292</xdr:rowOff>
    </xdr:to>
    <xdr:sp macro="" textlink="">
      <xdr:nvSpPr>
        <xdr:cNvPr id="12" name="Rectangle: Rounded Corners 11">
          <a:extLst>
            <a:ext uri="{FF2B5EF4-FFF2-40B4-BE49-F238E27FC236}">
              <a16:creationId xmlns:a16="http://schemas.microsoft.com/office/drawing/2014/main" id="{CA9C4BDE-E678-FD39-6F57-2FA8F758C016}"/>
            </a:ext>
          </a:extLst>
        </xdr:cNvPr>
        <xdr:cNvSpPr/>
      </xdr:nvSpPr>
      <xdr:spPr>
        <a:xfrm>
          <a:off x="7100660" y="4025647"/>
          <a:ext cx="2597202" cy="1299534"/>
        </a:xfrm>
        <a:prstGeom prst="roundRect">
          <a:avLst>
            <a:gd name="adj" fmla="val 10771"/>
          </a:avLst>
        </a:prstGeom>
        <a:gradFill>
          <a:gsLst>
            <a:gs pos="0">
              <a:srgbClr val="323687"/>
            </a:gs>
            <a:gs pos="63000">
              <a:srgbClr val="181A3C"/>
            </a:gs>
          </a:gsLst>
          <a:lin ang="6000000" scaled="0"/>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398234</xdr:colOff>
      <xdr:row>29</xdr:row>
      <xdr:rowOff>86507</xdr:rowOff>
    </xdr:from>
    <xdr:to>
      <xdr:col>16</xdr:col>
      <xdr:colOff>7938</xdr:colOff>
      <xdr:row>36</xdr:row>
      <xdr:rowOff>115358</xdr:rowOff>
    </xdr:to>
    <xdr:sp macro="" textlink="">
      <xdr:nvSpPr>
        <xdr:cNvPr id="13" name="Rectangle: Rounded Corners 12">
          <a:extLst>
            <a:ext uri="{FF2B5EF4-FFF2-40B4-BE49-F238E27FC236}">
              <a16:creationId xmlns:a16="http://schemas.microsoft.com/office/drawing/2014/main" id="{CBA039EF-63BF-028F-8382-F46D7B571B23}"/>
            </a:ext>
          </a:extLst>
        </xdr:cNvPr>
        <xdr:cNvSpPr/>
      </xdr:nvSpPr>
      <xdr:spPr>
        <a:xfrm>
          <a:off x="7072790" y="5406396"/>
          <a:ext cx="2643592" cy="1312962"/>
        </a:xfrm>
        <a:prstGeom prst="roundRect">
          <a:avLst>
            <a:gd name="adj" fmla="val 10771"/>
          </a:avLst>
        </a:prstGeom>
        <a:gradFill>
          <a:gsLst>
            <a:gs pos="0">
              <a:srgbClr val="323687"/>
            </a:gs>
            <a:gs pos="63000">
              <a:srgbClr val="181A3C"/>
            </a:gs>
          </a:gsLst>
          <a:lin ang="6000000" scaled="0"/>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325437</xdr:colOff>
      <xdr:row>3</xdr:row>
      <xdr:rowOff>31751</xdr:rowOff>
    </xdr:from>
    <xdr:to>
      <xdr:col>7</xdr:col>
      <xdr:colOff>55562</xdr:colOff>
      <xdr:row>5</xdr:row>
      <xdr:rowOff>150811</xdr:rowOff>
    </xdr:to>
    <xdr:sp macro="" textlink="">
      <xdr:nvSpPr>
        <xdr:cNvPr id="14" name="TextBox 13">
          <a:extLst>
            <a:ext uri="{FF2B5EF4-FFF2-40B4-BE49-F238E27FC236}">
              <a16:creationId xmlns:a16="http://schemas.microsoft.com/office/drawing/2014/main" id="{3D658699-7AFE-4004-0E13-689D504B6174}"/>
            </a:ext>
          </a:extLst>
        </xdr:cNvPr>
        <xdr:cNvSpPr txBox="1"/>
      </xdr:nvSpPr>
      <xdr:spPr>
        <a:xfrm>
          <a:off x="3381375" y="579439"/>
          <a:ext cx="952500" cy="484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tx2">
                  <a:lumMod val="50000"/>
                  <a:lumOff val="50000"/>
                </a:schemeClr>
              </a:solidFill>
            </a:rPr>
            <a:t>PERSONAL</a:t>
          </a:r>
          <a:r>
            <a:rPr lang="en-US" sz="1100" b="1" i="1">
              <a:solidFill>
                <a:schemeClr val="tx2">
                  <a:lumMod val="50000"/>
                  <a:lumOff val="50000"/>
                </a:schemeClr>
              </a:solidFill>
            </a:rPr>
            <a:t> </a:t>
          </a:r>
        </a:p>
        <a:p>
          <a:r>
            <a:rPr lang="en-US" sz="1100" b="1" i="1">
              <a:solidFill>
                <a:schemeClr val="tx2">
                  <a:lumMod val="50000"/>
                  <a:lumOff val="50000"/>
                </a:schemeClr>
              </a:solidFill>
            </a:rPr>
            <a:t>FINACE</a:t>
          </a:r>
        </a:p>
      </xdr:txBody>
    </xdr:sp>
    <xdr:clientData/>
  </xdr:twoCellAnchor>
  <xdr:twoCellAnchor editAs="oneCell">
    <xdr:from>
      <xdr:col>4</xdr:col>
      <xdr:colOff>484187</xdr:colOff>
      <xdr:row>3</xdr:row>
      <xdr:rowOff>39687</xdr:rowOff>
    </xdr:from>
    <xdr:to>
      <xdr:col>5</xdr:col>
      <xdr:colOff>330199</xdr:colOff>
      <xdr:row>5</xdr:row>
      <xdr:rowOff>131762</xdr:rowOff>
    </xdr:to>
    <xdr:pic>
      <xdr:nvPicPr>
        <xdr:cNvPr id="16" name="Graphic 15" descr="Pie chart outline">
          <a:extLst>
            <a:ext uri="{FF2B5EF4-FFF2-40B4-BE49-F238E27FC236}">
              <a16:creationId xmlns:a16="http://schemas.microsoft.com/office/drawing/2014/main" id="{C2C13143-8FD5-FD84-6D73-1A1C05923E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28937" y="587375"/>
          <a:ext cx="457200" cy="457200"/>
        </a:xfrm>
        <a:prstGeom prst="rect">
          <a:avLst/>
        </a:prstGeom>
      </xdr:spPr>
    </xdr:pic>
    <xdr:clientData/>
  </xdr:twoCellAnchor>
  <xdr:twoCellAnchor>
    <xdr:from>
      <xdr:col>5</xdr:col>
      <xdr:colOff>380998</xdr:colOff>
      <xdr:row>3</xdr:row>
      <xdr:rowOff>7939</xdr:rowOff>
    </xdr:from>
    <xdr:to>
      <xdr:col>5</xdr:col>
      <xdr:colOff>380999</xdr:colOff>
      <xdr:row>5</xdr:row>
      <xdr:rowOff>127002</xdr:rowOff>
    </xdr:to>
    <xdr:cxnSp macro="">
      <xdr:nvCxnSpPr>
        <xdr:cNvPr id="18" name="Straight Connector 17">
          <a:extLst>
            <a:ext uri="{FF2B5EF4-FFF2-40B4-BE49-F238E27FC236}">
              <a16:creationId xmlns:a16="http://schemas.microsoft.com/office/drawing/2014/main" id="{AA4EAC8B-057B-7643-744D-ECCD5E38BED6}"/>
            </a:ext>
          </a:extLst>
        </xdr:cNvPr>
        <xdr:cNvCxnSpPr/>
      </xdr:nvCxnSpPr>
      <xdr:spPr>
        <a:xfrm>
          <a:off x="3436936" y="555627"/>
          <a:ext cx="1" cy="484188"/>
        </a:xfrm>
        <a:prstGeom prst="line">
          <a:avLst/>
        </a:prstGeom>
        <a:ln>
          <a:solidFill>
            <a:schemeClr val="bg2"/>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1676</xdr:colOff>
      <xdr:row>10</xdr:row>
      <xdr:rowOff>79375</xdr:rowOff>
    </xdr:from>
    <xdr:to>
      <xdr:col>6</xdr:col>
      <xdr:colOff>414427</xdr:colOff>
      <xdr:row>12</xdr:row>
      <xdr:rowOff>47625</xdr:rowOff>
    </xdr:to>
    <xdr:sp macro="" textlink="">
      <xdr:nvSpPr>
        <xdr:cNvPr id="26" name="TextBox 25">
          <a:extLst>
            <a:ext uri="{FF2B5EF4-FFF2-40B4-BE49-F238E27FC236}">
              <a16:creationId xmlns:a16="http://schemas.microsoft.com/office/drawing/2014/main" id="{D1B827D0-BCAB-38CE-2260-75378D377013}"/>
            </a:ext>
          </a:extLst>
        </xdr:cNvPr>
        <xdr:cNvSpPr txBox="1"/>
      </xdr:nvSpPr>
      <xdr:spPr>
        <a:xfrm>
          <a:off x="3057614" y="1905000"/>
          <a:ext cx="1023938"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bg1"/>
              </a:solidFill>
            </a:rPr>
            <a:t>Dashboard</a:t>
          </a:r>
          <a:endParaRPr lang="en-US" sz="1100" b="1" i="1">
            <a:solidFill>
              <a:schemeClr val="bg1"/>
            </a:solidFill>
          </a:endParaRPr>
        </a:p>
        <a:p>
          <a:pPr algn="ctr"/>
          <a:endParaRPr lang="en-US" sz="1050">
            <a:solidFill>
              <a:schemeClr val="bg1"/>
            </a:solidFill>
          </a:endParaRPr>
        </a:p>
      </xdr:txBody>
    </xdr:sp>
    <xdr:clientData/>
  </xdr:twoCellAnchor>
  <xdr:twoCellAnchor editAs="oneCell">
    <xdr:from>
      <xdr:col>5</xdr:col>
      <xdr:colOff>40571</xdr:colOff>
      <xdr:row>6</xdr:row>
      <xdr:rowOff>103187</xdr:rowOff>
    </xdr:from>
    <xdr:to>
      <xdr:col>6</xdr:col>
      <xdr:colOff>343784</xdr:colOff>
      <xdr:row>11</xdr:row>
      <xdr:rowOff>31749</xdr:rowOff>
    </xdr:to>
    <xdr:pic>
      <xdr:nvPicPr>
        <xdr:cNvPr id="28" name="Graphic 27" descr="Home with solid fill">
          <a:extLst>
            <a:ext uri="{FF2B5EF4-FFF2-40B4-BE49-F238E27FC236}">
              <a16:creationId xmlns:a16="http://schemas.microsoft.com/office/drawing/2014/main" id="{4D199CAA-2DEC-3940-64C0-77159D98C88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96509" y="1198562"/>
          <a:ext cx="914400" cy="841375"/>
        </a:xfrm>
        <a:prstGeom prst="rect">
          <a:avLst/>
        </a:prstGeom>
        <a:effectLst>
          <a:glow rad="127000">
            <a:srgbClr val="CEC5FF">
              <a:alpha val="43000"/>
            </a:srgbClr>
          </a:glow>
        </a:effectLst>
      </xdr:spPr>
    </xdr:pic>
    <xdr:clientData/>
  </xdr:twoCellAnchor>
  <xdr:twoCellAnchor>
    <xdr:from>
      <xdr:col>23</xdr:col>
      <xdr:colOff>127000</xdr:colOff>
      <xdr:row>17</xdr:row>
      <xdr:rowOff>13019</xdr:rowOff>
    </xdr:from>
    <xdr:to>
      <xdr:col>25</xdr:col>
      <xdr:colOff>23813</xdr:colOff>
      <xdr:row>19</xdr:row>
      <xdr:rowOff>7938</xdr:rowOff>
    </xdr:to>
    <xdr:sp macro="" textlink="Processing!K6">
      <xdr:nvSpPr>
        <xdr:cNvPr id="29" name="TextBox 28">
          <a:extLst>
            <a:ext uri="{FF2B5EF4-FFF2-40B4-BE49-F238E27FC236}">
              <a16:creationId xmlns:a16="http://schemas.microsoft.com/office/drawing/2014/main" id="{9613E02D-B298-547B-DC50-2C509704B753}"/>
            </a:ext>
          </a:extLst>
        </xdr:cNvPr>
        <xdr:cNvSpPr txBox="1"/>
      </xdr:nvSpPr>
      <xdr:spPr>
        <a:xfrm>
          <a:off x="14184313" y="3116582"/>
          <a:ext cx="1119188" cy="36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E1FE0-426B-4395-AAC1-35A9723FF864}" type="TxLink">
            <a:rPr lang="en-US" sz="2000" b="0" i="0" u="none" strike="noStrike">
              <a:solidFill>
                <a:schemeClr val="bg1"/>
              </a:solidFill>
              <a:latin typeface="Aptos Narrow"/>
            </a:rPr>
            <a:pPr algn="ctr"/>
            <a:t>$3,980</a:t>
          </a:fld>
          <a:endParaRPr lang="en-US" sz="3600" b="1" i="1">
            <a:solidFill>
              <a:schemeClr val="bg1"/>
            </a:solidFill>
          </a:endParaRPr>
        </a:p>
      </xdr:txBody>
    </xdr:sp>
    <xdr:clientData/>
  </xdr:twoCellAnchor>
  <xdr:twoCellAnchor editAs="oneCell">
    <xdr:from>
      <xdr:col>5</xdr:col>
      <xdr:colOff>235792</xdr:colOff>
      <xdr:row>30</xdr:row>
      <xdr:rowOff>157349</xdr:rowOff>
    </xdr:from>
    <xdr:to>
      <xdr:col>6</xdr:col>
      <xdr:colOff>80404</xdr:colOff>
      <xdr:row>33</xdr:row>
      <xdr:rowOff>62660</xdr:rowOff>
    </xdr:to>
    <xdr:pic>
      <xdr:nvPicPr>
        <xdr:cNvPr id="33" name="Graphic 32" descr="Bullseye with solid fill">
          <a:hlinkClick xmlns:r="http://schemas.openxmlformats.org/officeDocument/2006/relationships" r:id="rId5"/>
          <a:extLst>
            <a:ext uri="{FF2B5EF4-FFF2-40B4-BE49-F238E27FC236}">
              <a16:creationId xmlns:a16="http://schemas.microsoft.com/office/drawing/2014/main" id="{B1151642-CAA0-3BBB-9CDD-425CBF8486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91730" y="5634224"/>
          <a:ext cx="455799" cy="452999"/>
        </a:xfrm>
        <a:prstGeom prst="rect">
          <a:avLst/>
        </a:prstGeom>
      </xdr:spPr>
    </xdr:pic>
    <xdr:clientData/>
  </xdr:twoCellAnchor>
  <xdr:twoCellAnchor editAs="oneCell">
    <xdr:from>
      <xdr:col>5</xdr:col>
      <xdr:colOff>249451</xdr:colOff>
      <xdr:row>24</xdr:row>
      <xdr:rowOff>44944</xdr:rowOff>
    </xdr:from>
    <xdr:to>
      <xdr:col>6</xdr:col>
      <xdr:colOff>94063</xdr:colOff>
      <xdr:row>26</xdr:row>
      <xdr:rowOff>141222</xdr:rowOff>
    </xdr:to>
    <xdr:pic>
      <xdr:nvPicPr>
        <xdr:cNvPr id="35" name="Graphic 34" descr="Open hand with plant with solid fill">
          <a:hlinkClick xmlns:r="http://schemas.openxmlformats.org/officeDocument/2006/relationships" r:id="rId8"/>
          <a:extLst>
            <a:ext uri="{FF2B5EF4-FFF2-40B4-BE49-F238E27FC236}">
              <a16:creationId xmlns:a16="http://schemas.microsoft.com/office/drawing/2014/main" id="{40D59352-A41F-A6EB-2865-4BCC3F569AC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312392" y="4527297"/>
          <a:ext cx="457200" cy="469807"/>
        </a:xfrm>
        <a:prstGeom prst="rect">
          <a:avLst/>
        </a:prstGeom>
      </xdr:spPr>
    </xdr:pic>
    <xdr:clientData/>
  </xdr:twoCellAnchor>
  <xdr:twoCellAnchor editAs="oneCell">
    <xdr:from>
      <xdr:col>5</xdr:col>
      <xdr:colOff>194943</xdr:colOff>
      <xdr:row>19</xdr:row>
      <xdr:rowOff>119771</xdr:rowOff>
    </xdr:from>
    <xdr:to>
      <xdr:col>6</xdr:col>
      <xdr:colOff>188632</xdr:colOff>
      <xdr:row>23</xdr:row>
      <xdr:rowOff>1245</xdr:rowOff>
    </xdr:to>
    <xdr:pic>
      <xdr:nvPicPr>
        <xdr:cNvPr id="37" name="Graphic 36" descr="Bar graph with downward trend with solid fill">
          <a:extLst>
            <a:ext uri="{FF2B5EF4-FFF2-40B4-BE49-F238E27FC236}">
              <a16:creationId xmlns:a16="http://schemas.microsoft.com/office/drawing/2014/main" id="{168A046D-001F-D11F-AE2D-9BC006D6FDE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57884" y="3668300"/>
          <a:ext cx="606277" cy="621685"/>
        </a:xfrm>
        <a:prstGeom prst="rect">
          <a:avLst/>
        </a:prstGeom>
      </xdr:spPr>
    </xdr:pic>
    <xdr:clientData/>
  </xdr:twoCellAnchor>
  <xdr:twoCellAnchor editAs="oneCell">
    <xdr:from>
      <xdr:col>5</xdr:col>
      <xdr:colOff>203937</xdr:colOff>
      <xdr:row>15</xdr:row>
      <xdr:rowOff>148375</xdr:rowOff>
    </xdr:from>
    <xdr:to>
      <xdr:col>6</xdr:col>
      <xdr:colOff>158750</xdr:colOff>
      <xdr:row>18</xdr:row>
      <xdr:rowOff>166688</xdr:rowOff>
    </xdr:to>
    <xdr:pic>
      <xdr:nvPicPr>
        <xdr:cNvPr id="39" name="Graphic 38" descr="Bar graph with upward trend with solid fill">
          <a:hlinkClick xmlns:r="http://schemas.openxmlformats.org/officeDocument/2006/relationships" r:id="rId13"/>
          <a:extLst>
            <a:ext uri="{FF2B5EF4-FFF2-40B4-BE49-F238E27FC236}">
              <a16:creationId xmlns:a16="http://schemas.microsoft.com/office/drawing/2014/main" id="{9CEA473F-93EF-D0C6-B190-328558183B7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73104" y="2847125"/>
          <a:ext cx="568646" cy="558063"/>
        </a:xfrm>
        <a:prstGeom prst="rect">
          <a:avLst/>
        </a:prstGeom>
      </xdr:spPr>
    </xdr:pic>
    <xdr:clientData/>
  </xdr:twoCellAnchor>
  <xdr:twoCellAnchor editAs="oneCell">
    <xdr:from>
      <xdr:col>5</xdr:col>
      <xdr:colOff>206375</xdr:colOff>
      <xdr:row>11</xdr:row>
      <xdr:rowOff>174624</xdr:rowOff>
    </xdr:from>
    <xdr:to>
      <xdr:col>6</xdr:col>
      <xdr:colOff>166687</xdr:colOff>
      <xdr:row>14</xdr:row>
      <xdr:rowOff>128512</xdr:rowOff>
    </xdr:to>
    <xdr:pic>
      <xdr:nvPicPr>
        <xdr:cNvPr id="41" name="Graphic 40" descr="Treasure chest outline">
          <a:hlinkClick xmlns:r="http://schemas.openxmlformats.org/officeDocument/2006/relationships" r:id="rId16"/>
          <a:extLst>
            <a:ext uri="{FF2B5EF4-FFF2-40B4-BE49-F238E27FC236}">
              <a16:creationId xmlns:a16="http://schemas.microsoft.com/office/drawing/2014/main" id="{40BDCBCE-5444-0988-9100-1B5B9D48C57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262313" y="2182812"/>
          <a:ext cx="571499" cy="501575"/>
        </a:xfrm>
        <a:prstGeom prst="rect">
          <a:avLst/>
        </a:prstGeom>
      </xdr:spPr>
    </xdr:pic>
    <xdr:clientData/>
  </xdr:twoCellAnchor>
  <xdr:twoCellAnchor>
    <xdr:from>
      <xdr:col>22</xdr:col>
      <xdr:colOff>130969</xdr:colOff>
      <xdr:row>23</xdr:row>
      <xdr:rowOff>129877</xdr:rowOff>
    </xdr:from>
    <xdr:to>
      <xdr:col>23</xdr:col>
      <xdr:colOff>551656</xdr:colOff>
      <xdr:row>26</xdr:row>
      <xdr:rowOff>42562</xdr:rowOff>
    </xdr:to>
    <xdr:sp macro="" textlink="">
      <xdr:nvSpPr>
        <xdr:cNvPr id="42" name="TextBox 41">
          <a:extLst>
            <a:ext uri="{FF2B5EF4-FFF2-40B4-BE49-F238E27FC236}">
              <a16:creationId xmlns:a16="http://schemas.microsoft.com/office/drawing/2014/main" id="{B873E750-74A0-3AD2-F664-682C46B26B4D}"/>
            </a:ext>
          </a:extLst>
        </xdr:cNvPr>
        <xdr:cNvSpPr txBox="1"/>
      </xdr:nvSpPr>
      <xdr:spPr>
        <a:xfrm>
          <a:off x="13577094" y="4328815"/>
          <a:ext cx="1031875" cy="460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372A4"/>
              </a:solidFill>
              <a:latin typeface="+mn-lt"/>
              <a:ea typeface="+mn-ea"/>
              <a:cs typeface="+mn-cs"/>
            </a:rPr>
            <a:t>In</a:t>
          </a:r>
          <a:r>
            <a:rPr lang="en-US" sz="1400">
              <a:solidFill>
                <a:srgbClr val="6372A4"/>
              </a:solidFill>
            </a:rPr>
            <a:t>come</a:t>
          </a:r>
          <a:endParaRPr lang="en-US" sz="1100">
            <a:solidFill>
              <a:srgbClr val="6372A4"/>
            </a:solidFill>
          </a:endParaRPr>
        </a:p>
      </xdr:txBody>
    </xdr:sp>
    <xdr:clientData/>
  </xdr:twoCellAnchor>
  <xdr:twoCellAnchor>
    <xdr:from>
      <xdr:col>22</xdr:col>
      <xdr:colOff>273844</xdr:colOff>
      <xdr:row>26</xdr:row>
      <xdr:rowOff>105537</xdr:rowOff>
    </xdr:from>
    <xdr:to>
      <xdr:col>24</xdr:col>
      <xdr:colOff>51594</xdr:colOff>
      <xdr:row>28</xdr:row>
      <xdr:rowOff>129350</xdr:rowOff>
    </xdr:to>
    <xdr:sp macro="" textlink="">
      <xdr:nvSpPr>
        <xdr:cNvPr id="43" name="TextBox 42">
          <a:extLst>
            <a:ext uri="{FF2B5EF4-FFF2-40B4-BE49-F238E27FC236}">
              <a16:creationId xmlns:a16="http://schemas.microsoft.com/office/drawing/2014/main" id="{4963CF55-1FCD-8268-8D3F-AFABE5849C75}"/>
            </a:ext>
          </a:extLst>
        </xdr:cNvPr>
        <xdr:cNvSpPr txBox="1"/>
      </xdr:nvSpPr>
      <xdr:spPr>
        <a:xfrm>
          <a:off x="13719969" y="4852162"/>
          <a:ext cx="1000125" cy="388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Expensev</a:t>
          </a:r>
        </a:p>
      </xdr:txBody>
    </xdr:sp>
    <xdr:clientData/>
  </xdr:twoCellAnchor>
  <xdr:twoCellAnchor>
    <xdr:from>
      <xdr:col>22</xdr:col>
      <xdr:colOff>301624</xdr:colOff>
      <xdr:row>31</xdr:row>
      <xdr:rowOff>8462</xdr:rowOff>
    </xdr:from>
    <xdr:to>
      <xdr:col>24</xdr:col>
      <xdr:colOff>55562</xdr:colOff>
      <xdr:row>32</xdr:row>
      <xdr:rowOff>95775</xdr:rowOff>
    </xdr:to>
    <xdr:sp macro="" textlink="">
      <xdr:nvSpPr>
        <xdr:cNvPr id="44" name="TextBox 43">
          <a:extLst>
            <a:ext uri="{FF2B5EF4-FFF2-40B4-BE49-F238E27FC236}">
              <a16:creationId xmlns:a16="http://schemas.microsoft.com/office/drawing/2014/main" id="{FE13CF6D-C4B9-A098-01A5-1381DA906AFD}"/>
            </a:ext>
          </a:extLst>
        </xdr:cNvPr>
        <xdr:cNvSpPr txBox="1"/>
      </xdr:nvSpPr>
      <xdr:spPr>
        <a:xfrm>
          <a:off x="13747749" y="5667900"/>
          <a:ext cx="976313"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Debts</a:t>
          </a:r>
          <a:endParaRPr lang="en-US" sz="1100">
            <a:solidFill>
              <a:srgbClr val="6372A4"/>
            </a:solidFill>
          </a:endParaRPr>
        </a:p>
        <a:p>
          <a:endParaRPr lang="en-US" sz="1100"/>
        </a:p>
      </xdr:txBody>
    </xdr:sp>
    <xdr:clientData/>
  </xdr:twoCellAnchor>
  <xdr:twoCellAnchor>
    <xdr:from>
      <xdr:col>22</xdr:col>
      <xdr:colOff>297656</xdr:colOff>
      <xdr:row>33</xdr:row>
      <xdr:rowOff>55563</xdr:rowOff>
    </xdr:from>
    <xdr:to>
      <xdr:col>23</xdr:col>
      <xdr:colOff>607218</xdr:colOff>
      <xdr:row>36</xdr:row>
      <xdr:rowOff>95251</xdr:rowOff>
    </xdr:to>
    <xdr:sp macro="" textlink="">
      <xdr:nvSpPr>
        <xdr:cNvPr id="45" name="TextBox 44">
          <a:extLst>
            <a:ext uri="{FF2B5EF4-FFF2-40B4-BE49-F238E27FC236}">
              <a16:creationId xmlns:a16="http://schemas.microsoft.com/office/drawing/2014/main" id="{E803B7E5-EDB5-A43B-2CD5-05B81C333919}"/>
            </a:ext>
          </a:extLst>
        </xdr:cNvPr>
        <xdr:cNvSpPr txBox="1"/>
      </xdr:nvSpPr>
      <xdr:spPr>
        <a:xfrm>
          <a:off x="13668942" y="6042706"/>
          <a:ext cx="917347" cy="583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Fin Goals</a:t>
          </a:r>
        </a:p>
      </xdr:txBody>
    </xdr:sp>
    <xdr:clientData/>
  </xdr:twoCellAnchor>
  <xdr:twoCellAnchor>
    <xdr:from>
      <xdr:col>22</xdr:col>
      <xdr:colOff>281082</xdr:colOff>
      <xdr:row>29</xdr:row>
      <xdr:rowOff>9762</xdr:rowOff>
    </xdr:from>
    <xdr:to>
      <xdr:col>24</xdr:col>
      <xdr:colOff>28482</xdr:colOff>
      <xdr:row>31</xdr:row>
      <xdr:rowOff>24862</xdr:rowOff>
    </xdr:to>
    <xdr:sp macro="" textlink="">
      <xdr:nvSpPr>
        <xdr:cNvPr id="48" name="TextBox 47">
          <a:extLst>
            <a:ext uri="{FF2B5EF4-FFF2-40B4-BE49-F238E27FC236}">
              <a16:creationId xmlns:a16="http://schemas.microsoft.com/office/drawing/2014/main" id="{622CD77E-3565-87C0-2E7D-925083F6D8B3}"/>
            </a:ext>
          </a:extLst>
        </xdr:cNvPr>
        <xdr:cNvSpPr txBox="1"/>
      </xdr:nvSpPr>
      <xdr:spPr>
        <a:xfrm>
          <a:off x="13727207" y="5304075"/>
          <a:ext cx="969775" cy="380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6372A4"/>
              </a:solidFill>
            </a:rPr>
            <a:t>Investmants</a:t>
          </a:r>
        </a:p>
      </xdr:txBody>
    </xdr:sp>
    <xdr:clientData/>
  </xdr:twoCellAnchor>
  <xdr:twoCellAnchor>
    <xdr:from>
      <xdr:col>5</xdr:col>
      <xdr:colOff>164353</xdr:colOff>
      <xdr:row>27</xdr:row>
      <xdr:rowOff>119530</xdr:rowOff>
    </xdr:from>
    <xdr:to>
      <xdr:col>6</xdr:col>
      <xdr:colOff>231588</xdr:colOff>
      <xdr:row>28</xdr:row>
      <xdr:rowOff>156882</xdr:rowOff>
    </xdr:to>
    <xdr:sp macro="" textlink="">
      <xdr:nvSpPr>
        <xdr:cNvPr id="49" name="TextBox 48">
          <a:hlinkClick xmlns:r="http://schemas.openxmlformats.org/officeDocument/2006/relationships" r:id="rId19"/>
          <a:extLst>
            <a:ext uri="{FF2B5EF4-FFF2-40B4-BE49-F238E27FC236}">
              <a16:creationId xmlns:a16="http://schemas.microsoft.com/office/drawing/2014/main" id="{CA5003A6-701C-D849-ADE6-27CEEBF93F13}"/>
            </a:ext>
          </a:extLst>
        </xdr:cNvPr>
        <xdr:cNvSpPr txBox="1"/>
      </xdr:nvSpPr>
      <xdr:spPr>
        <a:xfrm>
          <a:off x="3227294" y="5162177"/>
          <a:ext cx="679823"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rgbClr val="6372A4"/>
              </a:solidFill>
            </a:rPr>
            <a:t>%</a:t>
          </a:r>
        </a:p>
      </xdr:txBody>
    </xdr:sp>
    <xdr:clientData/>
  </xdr:twoCellAnchor>
  <xdr:twoCellAnchor>
    <xdr:from>
      <xdr:col>22</xdr:col>
      <xdr:colOff>6049</xdr:colOff>
      <xdr:row>9</xdr:row>
      <xdr:rowOff>91164</xdr:rowOff>
    </xdr:from>
    <xdr:to>
      <xdr:col>25</xdr:col>
      <xdr:colOff>102932</xdr:colOff>
      <xdr:row>16</xdr:row>
      <xdr:rowOff>9884</xdr:rowOff>
    </xdr:to>
    <xdr:sp macro="" textlink="">
      <xdr:nvSpPr>
        <xdr:cNvPr id="52" name="Rectangle: Rounded Corners 51">
          <a:extLst>
            <a:ext uri="{FF2B5EF4-FFF2-40B4-BE49-F238E27FC236}">
              <a16:creationId xmlns:a16="http://schemas.microsoft.com/office/drawing/2014/main" id="{AE2665FB-6653-4F5E-8002-2C91BB4CFEBE}"/>
            </a:ext>
          </a:extLst>
        </xdr:cNvPr>
        <xdr:cNvSpPr/>
      </xdr:nvSpPr>
      <xdr:spPr>
        <a:xfrm>
          <a:off x="13377335" y="1724021"/>
          <a:ext cx="1920240" cy="1188720"/>
        </a:xfrm>
        <a:prstGeom prst="roundRect">
          <a:avLst>
            <a:gd name="adj" fmla="val 9799"/>
          </a:avLst>
        </a:prstGeom>
        <a:gradFill>
          <a:gsLst>
            <a:gs pos="0">
              <a:srgbClr val="22248D"/>
            </a:gs>
            <a:gs pos="67000">
              <a:srgbClr val="060839"/>
            </a:gs>
          </a:gsLst>
          <a:lin ang="8100000" scaled="0"/>
        </a:gradFill>
        <a:ln w="9525">
          <a:gradFill>
            <a:gsLst>
              <a:gs pos="25000">
                <a:srgbClr val="7079FF"/>
              </a:gs>
              <a:gs pos="100000">
                <a:srgbClr val="A2D8F0"/>
              </a:gs>
            </a:gsLst>
            <a:lin ang="8100000" scaled="0"/>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22</xdr:col>
      <xdr:colOff>127000</xdr:colOff>
      <xdr:row>11</xdr:row>
      <xdr:rowOff>99787</xdr:rowOff>
    </xdr:from>
    <xdr:to>
      <xdr:col>22</xdr:col>
      <xdr:colOff>471713</xdr:colOff>
      <xdr:row>13</xdr:row>
      <xdr:rowOff>45358</xdr:rowOff>
    </xdr:to>
    <xdr:sp macro="" textlink="">
      <xdr:nvSpPr>
        <xdr:cNvPr id="54" name="Rectangle: Rounded Corners 53">
          <a:extLst>
            <a:ext uri="{FF2B5EF4-FFF2-40B4-BE49-F238E27FC236}">
              <a16:creationId xmlns:a16="http://schemas.microsoft.com/office/drawing/2014/main" id="{196283A1-122D-CB77-0D16-54EE94C42B49}"/>
            </a:ext>
          </a:extLst>
        </xdr:cNvPr>
        <xdr:cNvSpPr/>
      </xdr:nvSpPr>
      <xdr:spPr>
        <a:xfrm>
          <a:off x="13498286" y="2095501"/>
          <a:ext cx="344713" cy="308428"/>
        </a:xfrm>
        <a:prstGeom prst="roundRect">
          <a:avLst>
            <a:gd name="adj" fmla="val 26930"/>
          </a:avLst>
        </a:prstGeom>
        <a:solidFill>
          <a:srgbClr val="FFE07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388937</xdr:colOff>
      <xdr:row>10</xdr:row>
      <xdr:rowOff>14460</xdr:rowOff>
    </xdr:from>
    <xdr:to>
      <xdr:col>25</xdr:col>
      <xdr:colOff>35151</xdr:colOff>
      <xdr:row>11</xdr:row>
      <xdr:rowOff>172358</xdr:rowOff>
    </xdr:to>
    <xdr:grpSp>
      <xdr:nvGrpSpPr>
        <xdr:cNvPr id="73" name="Group 72">
          <a:extLst>
            <a:ext uri="{FF2B5EF4-FFF2-40B4-BE49-F238E27FC236}">
              <a16:creationId xmlns:a16="http://schemas.microsoft.com/office/drawing/2014/main" id="{C3E17848-3709-5364-AA57-9461397F1EB5}"/>
            </a:ext>
          </a:extLst>
        </xdr:cNvPr>
        <xdr:cNvGrpSpPr/>
      </xdr:nvGrpSpPr>
      <xdr:grpSpPr>
        <a:xfrm>
          <a:off x="14790737" y="1824210"/>
          <a:ext cx="246289" cy="338873"/>
          <a:chOff x="14904357" y="1837817"/>
          <a:chExt cx="312112" cy="354329"/>
        </a:xfrm>
      </xdr:grpSpPr>
      <xdr:sp macro="" textlink="">
        <xdr:nvSpPr>
          <xdr:cNvPr id="65" name="Freeform: Shape 64">
            <a:extLst>
              <a:ext uri="{FF2B5EF4-FFF2-40B4-BE49-F238E27FC236}">
                <a16:creationId xmlns:a16="http://schemas.microsoft.com/office/drawing/2014/main" id="{F0BB5008-1DAC-CD67-6C25-D5CFF698DBAD}"/>
              </a:ext>
            </a:extLst>
          </xdr:cNvPr>
          <xdr:cNvSpPr/>
        </xdr:nvSpPr>
        <xdr:spPr>
          <a:xfrm>
            <a:off x="15121164" y="1837817"/>
            <a:ext cx="95305" cy="354329"/>
          </a:xfrm>
          <a:custGeom>
            <a:avLst/>
            <a:gdLst>
              <a:gd name="csX0" fmla="*/ 56102 w 95305"/>
              <a:gd name="csY0" fmla="*/ 191453 h 354329"/>
              <a:gd name="csX1" fmla="*/ 0 w 95305"/>
              <a:gd name="csY1" fmla="*/ 325755 h 354329"/>
              <a:gd name="csX2" fmla="*/ 24956 w 95305"/>
              <a:gd name="csY2" fmla="*/ 354330 h 354329"/>
              <a:gd name="csX3" fmla="*/ 30861 w 95305"/>
              <a:gd name="csY3" fmla="*/ 0 h 354329"/>
              <a:gd name="csX4" fmla="*/ 2286 w 95305"/>
              <a:gd name="csY4" fmla="*/ 24575 h 354329"/>
              <a:gd name="csX5" fmla="*/ 56102 w 95305"/>
              <a:gd name="csY5" fmla="*/ 191453 h 354329"/>
            </a:gdLst>
            <a:ahLst/>
            <a:cxnLst>
              <a:cxn ang="0">
                <a:pos x="csX0" y="csY0"/>
              </a:cxn>
              <a:cxn ang="0">
                <a:pos x="csX1" y="csY1"/>
              </a:cxn>
              <a:cxn ang="0">
                <a:pos x="csX2" y="csY2"/>
              </a:cxn>
              <a:cxn ang="0">
                <a:pos x="csX3" y="csY3"/>
              </a:cxn>
              <a:cxn ang="0">
                <a:pos x="csX4" y="csY4"/>
              </a:cxn>
              <a:cxn ang="0">
                <a:pos x="csX5" y="csY5"/>
              </a:cxn>
            </a:cxnLst>
            <a:rect l="l" t="t" r="r" b="b"/>
            <a:pathLst>
              <a:path w="95305" h="354329">
                <a:moveTo>
                  <a:pt x="56102" y="191453"/>
                </a:moveTo>
                <a:cubicBezTo>
                  <a:pt x="52582" y="241148"/>
                  <a:pt x="32876" y="288322"/>
                  <a:pt x="0" y="325755"/>
                </a:cubicBezTo>
                <a:lnTo>
                  <a:pt x="24956" y="354330"/>
                </a:lnTo>
                <a:cubicBezTo>
                  <a:pt x="116453" y="254791"/>
                  <a:pt x="118990" y="102533"/>
                  <a:pt x="30861" y="0"/>
                </a:cubicBezTo>
                <a:lnTo>
                  <a:pt x="2286" y="24575"/>
                </a:lnTo>
                <a:cubicBezTo>
                  <a:pt x="41693" y="70836"/>
                  <a:pt x="61058" y="130885"/>
                  <a:pt x="56102" y="191453"/>
                </a:cubicBezTo>
                <a:close/>
              </a:path>
            </a:pathLst>
          </a:custGeom>
          <a:solidFill>
            <a:schemeClr val="bg1"/>
          </a:solidFill>
          <a:ln w="9525" cap="flat">
            <a:noFill/>
            <a:prstDash val="solid"/>
            <a:miter/>
          </a:ln>
        </xdr:spPr>
      </xdr:sp>
      <xdr:sp macro="" textlink="">
        <xdr:nvSpPr>
          <xdr:cNvPr id="66" name="Freeform: Shape 65">
            <a:extLst>
              <a:ext uri="{FF2B5EF4-FFF2-40B4-BE49-F238E27FC236}">
                <a16:creationId xmlns:a16="http://schemas.microsoft.com/office/drawing/2014/main" id="{2DC175DE-E017-4D8B-491A-B4E4AB4E4E7B}"/>
              </a:ext>
            </a:extLst>
          </xdr:cNvPr>
          <xdr:cNvSpPr/>
        </xdr:nvSpPr>
        <xdr:spPr>
          <a:xfrm>
            <a:off x="15064776" y="1888299"/>
            <a:ext cx="75014" cy="245649"/>
          </a:xfrm>
          <a:custGeom>
            <a:avLst/>
            <a:gdLst>
              <a:gd name="csX0" fmla="*/ 36481 w 75014"/>
              <a:gd name="csY0" fmla="*/ 135255 h 245649"/>
              <a:gd name="csX1" fmla="*/ 5334 w 75014"/>
              <a:gd name="csY1" fmla="*/ 216408 h 245649"/>
              <a:gd name="csX2" fmla="*/ 30480 w 75014"/>
              <a:gd name="csY2" fmla="*/ 245650 h 245649"/>
              <a:gd name="csX3" fmla="*/ 28575 w 75014"/>
              <a:gd name="csY3" fmla="*/ 0 h 245649"/>
              <a:gd name="csX4" fmla="*/ 0 w 75014"/>
              <a:gd name="csY4" fmla="*/ 24575 h 245649"/>
              <a:gd name="csX5" fmla="*/ 36481 w 75014"/>
              <a:gd name="csY5" fmla="*/ 135255 h 245649"/>
            </a:gdLst>
            <a:ahLst/>
            <a:cxnLst>
              <a:cxn ang="0">
                <a:pos x="csX0" y="csY0"/>
              </a:cxn>
              <a:cxn ang="0">
                <a:pos x="csX1" y="csY1"/>
              </a:cxn>
              <a:cxn ang="0">
                <a:pos x="csX2" y="csY2"/>
              </a:cxn>
              <a:cxn ang="0">
                <a:pos x="csX3" y="csY3"/>
              </a:cxn>
              <a:cxn ang="0">
                <a:pos x="csX4" y="csY4"/>
              </a:cxn>
              <a:cxn ang="0">
                <a:pos x="csX5" y="csY5"/>
              </a:cxn>
            </a:cxnLst>
            <a:rect l="l" t="t" r="r" b="b"/>
            <a:pathLst>
              <a:path w="75014" h="245649">
                <a:moveTo>
                  <a:pt x="36481" y="135255"/>
                </a:moveTo>
                <a:cubicBezTo>
                  <a:pt x="34274" y="164773"/>
                  <a:pt x="23443" y="192993"/>
                  <a:pt x="5334" y="216408"/>
                </a:cubicBezTo>
                <a:lnTo>
                  <a:pt x="30480" y="245650"/>
                </a:lnTo>
                <a:cubicBezTo>
                  <a:pt x="90573" y="174524"/>
                  <a:pt x="89765" y="70186"/>
                  <a:pt x="28575" y="0"/>
                </a:cubicBezTo>
                <a:lnTo>
                  <a:pt x="0" y="24575"/>
                </a:lnTo>
                <a:cubicBezTo>
                  <a:pt x="26418" y="55135"/>
                  <a:pt x="39549" y="94975"/>
                  <a:pt x="36481" y="135255"/>
                </a:cubicBezTo>
                <a:close/>
              </a:path>
            </a:pathLst>
          </a:custGeom>
          <a:solidFill>
            <a:schemeClr val="bg1"/>
          </a:solidFill>
          <a:ln w="9525" cap="flat">
            <a:noFill/>
            <a:prstDash val="solid"/>
            <a:miter/>
          </a:ln>
        </xdr:spPr>
      </xdr:sp>
      <xdr:sp macro="" textlink="">
        <xdr:nvSpPr>
          <xdr:cNvPr id="71" name="Oval 70">
            <a:extLst>
              <a:ext uri="{FF2B5EF4-FFF2-40B4-BE49-F238E27FC236}">
                <a16:creationId xmlns:a16="http://schemas.microsoft.com/office/drawing/2014/main" id="{B08431CF-6C82-4C17-453D-48E199D14CBE}"/>
              </a:ext>
            </a:extLst>
          </xdr:cNvPr>
          <xdr:cNvSpPr/>
        </xdr:nvSpPr>
        <xdr:spPr>
          <a:xfrm>
            <a:off x="14904357" y="1932215"/>
            <a:ext cx="118872" cy="118872"/>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22</xdr:col>
      <xdr:colOff>163286</xdr:colOff>
      <xdr:row>14</xdr:row>
      <xdr:rowOff>27214</xdr:rowOff>
    </xdr:from>
    <xdr:to>
      <xdr:col>24</xdr:col>
      <xdr:colOff>535215</xdr:colOff>
      <xdr:row>15</xdr:row>
      <xdr:rowOff>54428</xdr:rowOff>
    </xdr:to>
    <xdr:sp macro="" textlink="">
      <xdr:nvSpPr>
        <xdr:cNvPr id="74" name="TextBox 73">
          <a:extLst>
            <a:ext uri="{FF2B5EF4-FFF2-40B4-BE49-F238E27FC236}">
              <a16:creationId xmlns:a16="http://schemas.microsoft.com/office/drawing/2014/main" id="{45AD07AE-DA94-B59C-86FA-A046FDEA5298}"/>
            </a:ext>
          </a:extLst>
        </xdr:cNvPr>
        <xdr:cNvSpPr txBox="1"/>
      </xdr:nvSpPr>
      <xdr:spPr>
        <a:xfrm>
          <a:off x="13534572" y="2567214"/>
          <a:ext cx="1587500" cy="20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r>
            <a:rPr lang="en-US" sz="1100" baseline="0">
              <a:solidFill>
                <a:schemeClr val="bg1"/>
              </a:solidFill>
            </a:rPr>
            <a:t> ***** **** *****</a:t>
          </a:r>
          <a:endParaRPr lang="en-US" sz="1100">
            <a:solidFill>
              <a:schemeClr val="bg1"/>
            </a:solidFill>
          </a:endParaRPr>
        </a:p>
      </xdr:txBody>
    </xdr:sp>
    <xdr:clientData/>
  </xdr:twoCellAnchor>
  <xdr:twoCellAnchor editAs="oneCell">
    <xdr:from>
      <xdr:col>23</xdr:col>
      <xdr:colOff>453571</xdr:colOff>
      <xdr:row>10</xdr:row>
      <xdr:rowOff>36286</xdr:rowOff>
    </xdr:from>
    <xdr:to>
      <xdr:col>24</xdr:col>
      <xdr:colOff>211545</xdr:colOff>
      <xdr:row>12</xdr:row>
      <xdr:rowOff>39189</xdr:rowOff>
    </xdr:to>
    <xdr:pic>
      <xdr:nvPicPr>
        <xdr:cNvPr id="78" name="Graphic 77" descr="Moon with solid fill">
          <a:extLst>
            <a:ext uri="{FF2B5EF4-FFF2-40B4-BE49-F238E27FC236}">
              <a16:creationId xmlns:a16="http://schemas.microsoft.com/office/drawing/2014/main" id="{7E116297-7C77-870C-2382-13BE748316E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432642" y="1850572"/>
          <a:ext cx="365760" cy="365760"/>
        </a:xfrm>
        <a:prstGeom prst="rect">
          <a:avLst/>
        </a:prstGeom>
      </xdr:spPr>
    </xdr:pic>
    <xdr:clientData/>
  </xdr:twoCellAnchor>
  <xdr:twoCellAnchor editAs="oneCell">
    <xdr:from>
      <xdr:col>22</xdr:col>
      <xdr:colOff>535214</xdr:colOff>
      <xdr:row>10</xdr:row>
      <xdr:rowOff>36286</xdr:rowOff>
    </xdr:from>
    <xdr:to>
      <xdr:col>23</xdr:col>
      <xdr:colOff>303686</xdr:colOff>
      <xdr:row>12</xdr:row>
      <xdr:rowOff>51274</xdr:rowOff>
    </xdr:to>
    <xdr:pic macro="[0]!Picture79_Click">
      <xdr:nvPicPr>
        <xdr:cNvPr id="72" name="Picture 79" descr="Sun with solid fill">
          <a:extLst>
            <a:ext uri="{FF2B5EF4-FFF2-40B4-BE49-F238E27FC236}">
              <a16:creationId xmlns:a16="http://schemas.microsoft.com/office/drawing/2014/main" id="{3AD2ACDD-65A7-390D-316E-5BCFD6DDFA24}"/>
            </a:ext>
          </a:extLst>
        </xdr:cNvPr>
        <xdr:cNvPicPr>
          <a:picLocks noChangeAspect="1"/>
        </xdr:cNvPicPr>
      </xdr:nvPicPr>
      <xdr:blipFill>
        <a:blip xmlns:r="http://schemas.openxmlformats.org/officeDocument/2006/relationships" r:embed="rId22"/>
        <a:stretch>
          <a:fillRect/>
        </a:stretch>
      </xdr:blipFill>
      <xdr:spPr>
        <a:xfrm>
          <a:off x="13906500" y="1850572"/>
          <a:ext cx="374669" cy="381020"/>
        </a:xfrm>
        <a:prstGeom prst="rect">
          <a:avLst/>
        </a:prstGeom>
      </xdr:spPr>
    </xdr:pic>
    <xdr:clientData/>
  </xdr:twoCellAnchor>
  <xdr:twoCellAnchor editAs="oneCell">
    <xdr:from>
      <xdr:col>7</xdr:col>
      <xdr:colOff>176390</xdr:colOff>
      <xdr:row>3</xdr:row>
      <xdr:rowOff>60854</xdr:rowOff>
    </xdr:from>
    <xdr:to>
      <xdr:col>25</xdr:col>
      <xdr:colOff>0</xdr:colOff>
      <xdr:row>5</xdr:row>
      <xdr:rowOff>92603</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3609F4E5-10AC-43DC-BEA1-D0C136BF0AF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430890" y="605140"/>
              <a:ext cx="10763753" cy="394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386669</xdr:colOff>
      <xdr:row>9</xdr:row>
      <xdr:rowOff>66901</xdr:rowOff>
    </xdr:from>
    <xdr:to>
      <xdr:col>16</xdr:col>
      <xdr:colOff>290086</xdr:colOff>
      <xdr:row>20</xdr:row>
      <xdr:rowOff>70394</xdr:rowOff>
    </xdr:to>
    <xdr:graphicFrame macro="">
      <xdr:nvGraphicFramePr>
        <xdr:cNvPr id="17" name="Chart 16">
          <a:extLst>
            <a:ext uri="{FF2B5EF4-FFF2-40B4-BE49-F238E27FC236}">
              <a16:creationId xmlns:a16="http://schemas.microsoft.com/office/drawing/2014/main" id="{73AC651B-1F32-4AE2-BBB9-2111116B5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xdr:col>
      <xdr:colOff>484187</xdr:colOff>
      <xdr:row>17</xdr:row>
      <xdr:rowOff>5081</xdr:rowOff>
    </xdr:from>
    <xdr:to>
      <xdr:col>23</xdr:col>
      <xdr:colOff>381000</xdr:colOff>
      <xdr:row>19</xdr:row>
      <xdr:rowOff>0</xdr:rowOff>
    </xdr:to>
    <xdr:sp macro="" textlink="">
      <xdr:nvSpPr>
        <xdr:cNvPr id="23" name="TextBox 22">
          <a:extLst>
            <a:ext uri="{FF2B5EF4-FFF2-40B4-BE49-F238E27FC236}">
              <a16:creationId xmlns:a16="http://schemas.microsoft.com/office/drawing/2014/main" id="{9DB06AA6-98D8-A0B6-D887-F02D6FD7CCFF}"/>
            </a:ext>
          </a:extLst>
        </xdr:cNvPr>
        <xdr:cNvSpPr txBox="1"/>
      </xdr:nvSpPr>
      <xdr:spPr>
        <a:xfrm>
          <a:off x="13319125" y="3108644"/>
          <a:ext cx="1119188" cy="36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1">
              <a:solidFill>
                <a:srgbClr val="6372A4"/>
              </a:solidFill>
            </a:rPr>
            <a:t>Blanace:</a:t>
          </a:r>
        </a:p>
      </xdr:txBody>
    </xdr:sp>
    <xdr:clientData/>
  </xdr:twoCellAnchor>
  <xdr:twoCellAnchor>
    <xdr:from>
      <xdr:col>11</xdr:col>
      <xdr:colOff>134642</xdr:colOff>
      <xdr:row>7</xdr:row>
      <xdr:rowOff>104741</xdr:rowOff>
    </xdr:from>
    <xdr:to>
      <xdr:col>12</xdr:col>
      <xdr:colOff>285455</xdr:colOff>
      <xdr:row>9</xdr:row>
      <xdr:rowOff>99660</xdr:rowOff>
    </xdr:to>
    <xdr:sp macro="" textlink="Processing!E1">
      <xdr:nvSpPr>
        <xdr:cNvPr id="24" name="TextBox 23">
          <a:extLst>
            <a:ext uri="{FF2B5EF4-FFF2-40B4-BE49-F238E27FC236}">
              <a16:creationId xmlns:a16="http://schemas.microsoft.com/office/drawing/2014/main" id="{85F6EAC6-9B60-8822-3EB2-24A1A99675AB}"/>
            </a:ext>
          </a:extLst>
        </xdr:cNvPr>
        <xdr:cNvSpPr txBox="1"/>
      </xdr:nvSpPr>
      <xdr:spPr>
        <a:xfrm>
          <a:off x="6820285" y="1374741"/>
          <a:ext cx="758599" cy="35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395713B-02B1-4413-8F40-6ABA98D60546}" type="TxLink">
            <a:rPr lang="en-US" sz="1200" b="1" i="1" u="none" strike="noStrike">
              <a:solidFill>
                <a:srgbClr val="FFFFFF"/>
              </a:solidFill>
              <a:latin typeface="Aptos Narrow"/>
              <a:ea typeface="+mn-ea"/>
              <a:cs typeface="+mn-cs"/>
            </a:rPr>
            <a:pPr marL="0" indent="0" algn="r"/>
            <a:t>Expenses</a:t>
          </a:fld>
          <a:endParaRPr lang="en-US" sz="1200" b="1" i="1" u="none" strike="noStrike">
            <a:solidFill>
              <a:srgbClr val="FFFFFF"/>
            </a:solidFill>
            <a:latin typeface="Aptos Narrow"/>
            <a:ea typeface="+mn-ea"/>
            <a:cs typeface="+mn-cs"/>
          </a:endParaRPr>
        </a:p>
      </xdr:txBody>
    </xdr:sp>
    <xdr:clientData/>
  </xdr:twoCellAnchor>
  <xdr:twoCellAnchor>
    <xdr:from>
      <xdr:col>8</xdr:col>
      <xdr:colOff>293689</xdr:colOff>
      <xdr:row>7</xdr:row>
      <xdr:rowOff>104741</xdr:rowOff>
    </xdr:from>
    <xdr:to>
      <xdr:col>9</xdr:col>
      <xdr:colOff>436563</xdr:colOff>
      <xdr:row>9</xdr:row>
      <xdr:rowOff>99660</xdr:rowOff>
    </xdr:to>
    <xdr:sp macro="" textlink="Processing!D1">
      <xdr:nvSpPr>
        <xdr:cNvPr id="25" name="TextBox 24">
          <a:extLst>
            <a:ext uri="{FF2B5EF4-FFF2-40B4-BE49-F238E27FC236}">
              <a16:creationId xmlns:a16="http://schemas.microsoft.com/office/drawing/2014/main" id="{79803150-A900-8B5A-2EED-ED4F3D38A9DA}"/>
            </a:ext>
          </a:extLst>
        </xdr:cNvPr>
        <xdr:cNvSpPr txBox="1"/>
      </xdr:nvSpPr>
      <xdr:spPr>
        <a:xfrm>
          <a:off x="5147911" y="1388852"/>
          <a:ext cx="749652" cy="361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8714573-1CCE-406E-AAF4-BEFD6B1EBB47}" type="TxLink">
            <a:rPr lang="en-US" sz="1200" b="1" i="1" u="none" strike="noStrike">
              <a:solidFill>
                <a:srgbClr val="FFFFFF"/>
              </a:solidFill>
              <a:latin typeface="Aptos Narrow"/>
            </a:rPr>
            <a:pPr algn="r"/>
            <a:t>Income</a:t>
          </a:fld>
          <a:endParaRPr lang="en-US" sz="1200" b="1" i="1">
            <a:solidFill>
              <a:srgbClr val="6372A4"/>
            </a:solidFill>
          </a:endParaRPr>
        </a:p>
      </xdr:txBody>
    </xdr:sp>
    <xdr:clientData/>
  </xdr:twoCellAnchor>
  <xdr:twoCellAnchor>
    <xdr:from>
      <xdr:col>23</xdr:col>
      <xdr:colOff>486582</xdr:colOff>
      <xdr:row>26</xdr:row>
      <xdr:rowOff>95670</xdr:rowOff>
    </xdr:from>
    <xdr:to>
      <xdr:col>25</xdr:col>
      <xdr:colOff>29608</xdr:colOff>
      <xdr:row>28</xdr:row>
      <xdr:rowOff>90589</xdr:rowOff>
    </xdr:to>
    <xdr:sp macro="" textlink="Processing!E14">
      <xdr:nvSpPr>
        <xdr:cNvPr id="38" name="TextBox 37">
          <a:extLst>
            <a:ext uri="{FF2B5EF4-FFF2-40B4-BE49-F238E27FC236}">
              <a16:creationId xmlns:a16="http://schemas.microsoft.com/office/drawing/2014/main" id="{72846D14-435C-AE46-4710-7A460664A160}"/>
            </a:ext>
          </a:extLst>
        </xdr:cNvPr>
        <xdr:cNvSpPr txBox="1"/>
      </xdr:nvSpPr>
      <xdr:spPr>
        <a:xfrm>
          <a:off x="14465653" y="4812813"/>
          <a:ext cx="758598" cy="35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FE3DA70-869E-43C1-9FD3-A5DC7BFFC055}" type="TxLink">
            <a:rPr lang="en-US" sz="1400" b="0" i="0" u="none" strike="noStrike">
              <a:solidFill>
                <a:schemeClr val="tx2">
                  <a:lumMod val="25000"/>
                  <a:lumOff val="75000"/>
                </a:schemeClr>
              </a:solidFill>
              <a:latin typeface="Aptos Narrow"/>
              <a:ea typeface="+mn-ea"/>
              <a:cs typeface="+mn-cs"/>
            </a:rPr>
            <a:pPr marL="0" indent="0" algn="r"/>
            <a:t>$18,904</a:t>
          </a:fld>
          <a:endParaRPr lang="en-US" sz="1600" b="1" i="1" u="none" strike="noStrike">
            <a:solidFill>
              <a:schemeClr val="tx2">
                <a:lumMod val="25000"/>
                <a:lumOff val="75000"/>
              </a:schemeClr>
            </a:solidFill>
            <a:latin typeface="Aptos Narrow"/>
            <a:ea typeface="+mn-ea"/>
            <a:cs typeface="+mn-cs"/>
          </a:endParaRPr>
        </a:p>
      </xdr:txBody>
    </xdr:sp>
    <xdr:clientData/>
  </xdr:twoCellAnchor>
  <xdr:twoCellAnchor>
    <xdr:from>
      <xdr:col>9</xdr:col>
      <xdr:colOff>519759</xdr:colOff>
      <xdr:row>7</xdr:row>
      <xdr:rowOff>104741</xdr:rowOff>
    </xdr:from>
    <xdr:to>
      <xdr:col>11</xdr:col>
      <xdr:colOff>51446</xdr:colOff>
      <xdr:row>9</xdr:row>
      <xdr:rowOff>99660</xdr:rowOff>
    </xdr:to>
    <xdr:sp macro="" textlink="Processing!D14">
      <xdr:nvSpPr>
        <xdr:cNvPr id="40" name="TextBox 39">
          <a:extLst>
            <a:ext uri="{FF2B5EF4-FFF2-40B4-BE49-F238E27FC236}">
              <a16:creationId xmlns:a16="http://schemas.microsoft.com/office/drawing/2014/main" id="{EC0BC38E-200A-F1FD-9C3B-5B11552C4B92}"/>
            </a:ext>
          </a:extLst>
        </xdr:cNvPr>
        <xdr:cNvSpPr txBox="1"/>
      </xdr:nvSpPr>
      <xdr:spPr>
        <a:xfrm>
          <a:off x="5980759" y="1388852"/>
          <a:ext cx="745243" cy="361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BCFE1B3-8319-4848-AD16-7195E0564B31}" type="TxLink">
            <a:rPr lang="en-US" sz="1400" b="0" i="0" u="none" strike="noStrike">
              <a:solidFill>
                <a:schemeClr val="tx2">
                  <a:lumMod val="25000"/>
                  <a:lumOff val="75000"/>
                </a:schemeClr>
              </a:solidFill>
              <a:latin typeface="Aptos Narrow"/>
            </a:rPr>
            <a:pPr algn="r"/>
            <a:t>$17,800</a:t>
          </a:fld>
          <a:endParaRPr lang="en-US" sz="1600" b="1" i="1">
            <a:solidFill>
              <a:schemeClr val="tx2">
                <a:lumMod val="25000"/>
                <a:lumOff val="75000"/>
              </a:schemeClr>
            </a:solidFill>
          </a:endParaRPr>
        </a:p>
      </xdr:txBody>
    </xdr:sp>
    <xdr:clientData/>
  </xdr:twoCellAnchor>
  <xdr:twoCellAnchor>
    <xdr:from>
      <xdr:col>17</xdr:col>
      <xdr:colOff>349250</xdr:colOff>
      <xdr:row>6</xdr:row>
      <xdr:rowOff>39687</xdr:rowOff>
    </xdr:from>
    <xdr:to>
      <xdr:col>20</xdr:col>
      <xdr:colOff>435928</xdr:colOff>
      <xdr:row>20</xdr:row>
      <xdr:rowOff>44132</xdr:rowOff>
    </xdr:to>
    <xdr:graphicFrame macro="">
      <xdr:nvGraphicFramePr>
        <xdr:cNvPr id="51" name="Chart 50">
          <a:extLst>
            <a:ext uri="{FF2B5EF4-FFF2-40B4-BE49-F238E27FC236}">
              <a16:creationId xmlns:a16="http://schemas.microsoft.com/office/drawing/2014/main" id="{930564FB-5E86-4271-BFF8-83BFD6F00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373944</xdr:colOff>
      <xdr:row>12</xdr:row>
      <xdr:rowOff>182350</xdr:rowOff>
    </xdr:from>
    <xdr:to>
      <xdr:col>19</xdr:col>
      <xdr:colOff>429507</xdr:colOff>
      <xdr:row>15</xdr:row>
      <xdr:rowOff>21166</xdr:rowOff>
    </xdr:to>
    <xdr:sp macro="" textlink="Processing!M2">
      <xdr:nvSpPr>
        <xdr:cNvPr id="55" name="TextBox 54">
          <a:extLst>
            <a:ext uri="{FF2B5EF4-FFF2-40B4-BE49-F238E27FC236}">
              <a16:creationId xmlns:a16="http://schemas.microsoft.com/office/drawing/2014/main" id="{EBB251FE-943F-83D8-DD26-7EC164015AE5}"/>
            </a:ext>
          </a:extLst>
        </xdr:cNvPr>
        <xdr:cNvSpPr txBox="1"/>
      </xdr:nvSpPr>
      <xdr:spPr>
        <a:xfrm>
          <a:off x="11295944" y="2383683"/>
          <a:ext cx="662341" cy="38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993314-B8B8-41D9-9B4B-28EAF51D0559}" type="TxLink">
            <a:rPr lang="en-US" sz="1900" b="0" i="0" u="none" strike="noStrike">
              <a:solidFill>
                <a:schemeClr val="bg1"/>
              </a:solidFill>
              <a:latin typeface="Aptos Narrow"/>
            </a:rPr>
            <a:pPr algn="ctr"/>
            <a:t>48%</a:t>
          </a:fld>
          <a:endParaRPr lang="en-US" sz="1900" b="1" i="1">
            <a:solidFill>
              <a:schemeClr val="bg1"/>
            </a:solidFill>
          </a:endParaRPr>
        </a:p>
      </xdr:txBody>
    </xdr:sp>
    <xdr:clientData/>
  </xdr:twoCellAnchor>
  <xdr:twoCellAnchor>
    <xdr:from>
      <xdr:col>19</xdr:col>
      <xdr:colOff>247531</xdr:colOff>
      <xdr:row>18</xdr:row>
      <xdr:rowOff>20074</xdr:rowOff>
    </xdr:from>
    <xdr:to>
      <xdr:col>20</xdr:col>
      <xdr:colOff>398343</xdr:colOff>
      <xdr:row>20</xdr:row>
      <xdr:rowOff>14993</xdr:rowOff>
    </xdr:to>
    <xdr:sp macro="" textlink="Processing!E1">
      <xdr:nvSpPr>
        <xdr:cNvPr id="56" name="TextBox 55">
          <a:extLst>
            <a:ext uri="{FF2B5EF4-FFF2-40B4-BE49-F238E27FC236}">
              <a16:creationId xmlns:a16="http://schemas.microsoft.com/office/drawing/2014/main" id="{349D77A7-18A1-8F6B-7050-7FE4856A03EB}"/>
            </a:ext>
          </a:extLst>
        </xdr:cNvPr>
        <xdr:cNvSpPr txBox="1"/>
      </xdr:nvSpPr>
      <xdr:spPr>
        <a:xfrm>
          <a:off x="11795460" y="3285788"/>
          <a:ext cx="758597" cy="35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395713B-02B1-4413-8F40-6ABA98D60546}" type="TxLink">
            <a:rPr lang="en-US" sz="1200" b="1" i="1" u="none" strike="noStrike">
              <a:solidFill>
                <a:schemeClr val="tx2">
                  <a:lumMod val="25000"/>
                  <a:lumOff val="75000"/>
                </a:schemeClr>
              </a:solidFill>
              <a:latin typeface="Aptos Narrow"/>
              <a:ea typeface="+mn-ea"/>
              <a:cs typeface="+mn-cs"/>
            </a:rPr>
            <a:pPr marL="0" indent="0" algn="r"/>
            <a:t>Expenses</a:t>
          </a:fld>
          <a:endParaRPr lang="en-US" sz="1200" b="1" i="1" u="none" strike="noStrike">
            <a:solidFill>
              <a:schemeClr val="tx2">
                <a:lumMod val="25000"/>
                <a:lumOff val="75000"/>
              </a:schemeClr>
            </a:solidFill>
            <a:latin typeface="Aptos Narrow"/>
            <a:ea typeface="+mn-ea"/>
            <a:cs typeface="+mn-cs"/>
          </a:endParaRPr>
        </a:p>
      </xdr:txBody>
    </xdr:sp>
    <xdr:clientData/>
  </xdr:twoCellAnchor>
  <xdr:twoCellAnchor>
    <xdr:from>
      <xdr:col>17</xdr:col>
      <xdr:colOff>303768</xdr:colOff>
      <xdr:row>18</xdr:row>
      <xdr:rowOff>20074</xdr:rowOff>
    </xdr:from>
    <xdr:to>
      <xdr:col>18</xdr:col>
      <xdr:colOff>446642</xdr:colOff>
      <xdr:row>20</xdr:row>
      <xdr:rowOff>14993</xdr:rowOff>
    </xdr:to>
    <xdr:sp macro="" textlink="Processing!D1">
      <xdr:nvSpPr>
        <xdr:cNvPr id="57" name="TextBox 56">
          <a:extLst>
            <a:ext uri="{FF2B5EF4-FFF2-40B4-BE49-F238E27FC236}">
              <a16:creationId xmlns:a16="http://schemas.microsoft.com/office/drawing/2014/main" id="{E9339DC8-4D39-AF4B-2639-674842742210}"/>
            </a:ext>
          </a:extLst>
        </xdr:cNvPr>
        <xdr:cNvSpPr txBox="1"/>
      </xdr:nvSpPr>
      <xdr:spPr>
        <a:xfrm>
          <a:off x="10636125" y="3285788"/>
          <a:ext cx="750660" cy="35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8714573-1CCE-406E-AAF4-BEFD6B1EBB47}" type="TxLink">
            <a:rPr lang="en-US" sz="1200" b="1" i="1" u="none" strike="noStrike">
              <a:solidFill>
                <a:schemeClr val="tx2">
                  <a:lumMod val="25000"/>
                  <a:lumOff val="75000"/>
                </a:schemeClr>
              </a:solidFill>
              <a:latin typeface="Aptos Narrow"/>
            </a:rPr>
            <a:pPr algn="r"/>
            <a:t>Income</a:t>
          </a:fld>
          <a:endParaRPr lang="en-US" sz="1200" b="1" i="1">
            <a:solidFill>
              <a:schemeClr val="tx2">
                <a:lumMod val="25000"/>
                <a:lumOff val="75000"/>
              </a:schemeClr>
            </a:solidFill>
          </a:endParaRPr>
        </a:p>
      </xdr:txBody>
    </xdr:sp>
    <xdr:clientData/>
  </xdr:twoCellAnchor>
  <xdr:twoCellAnchor>
    <xdr:from>
      <xdr:col>17</xdr:col>
      <xdr:colOff>279198</xdr:colOff>
      <xdr:row>18</xdr:row>
      <xdr:rowOff>131391</xdr:rowOff>
    </xdr:from>
    <xdr:to>
      <xdr:col>17</xdr:col>
      <xdr:colOff>416358</xdr:colOff>
      <xdr:row>19</xdr:row>
      <xdr:rowOff>85105</xdr:rowOff>
    </xdr:to>
    <xdr:sp macro="" textlink="">
      <xdr:nvSpPr>
        <xdr:cNvPr id="58" name="Oval 57">
          <a:extLst>
            <a:ext uri="{FF2B5EF4-FFF2-40B4-BE49-F238E27FC236}">
              <a16:creationId xmlns:a16="http://schemas.microsoft.com/office/drawing/2014/main" id="{7D76BF13-EC88-BE0C-D978-E06AEE07742A}"/>
            </a:ext>
          </a:extLst>
        </xdr:cNvPr>
        <xdr:cNvSpPr/>
      </xdr:nvSpPr>
      <xdr:spPr>
        <a:xfrm>
          <a:off x="10611555" y="3397105"/>
          <a:ext cx="137160" cy="135143"/>
        </a:xfrm>
        <a:prstGeom prst="ellipse">
          <a:avLst/>
        </a:prstGeom>
        <a:solidFill>
          <a:srgbClr val="4A59E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170340</xdr:colOff>
      <xdr:row>18</xdr:row>
      <xdr:rowOff>131391</xdr:rowOff>
    </xdr:from>
    <xdr:to>
      <xdr:col>19</xdr:col>
      <xdr:colOff>307500</xdr:colOff>
      <xdr:row>19</xdr:row>
      <xdr:rowOff>85105</xdr:rowOff>
    </xdr:to>
    <xdr:sp macro="" textlink="">
      <xdr:nvSpPr>
        <xdr:cNvPr id="59" name="Oval 58">
          <a:extLst>
            <a:ext uri="{FF2B5EF4-FFF2-40B4-BE49-F238E27FC236}">
              <a16:creationId xmlns:a16="http://schemas.microsoft.com/office/drawing/2014/main" id="{58D099D2-7E5C-9850-6342-6AC2A8CBEDA7}"/>
            </a:ext>
          </a:extLst>
        </xdr:cNvPr>
        <xdr:cNvSpPr/>
      </xdr:nvSpPr>
      <xdr:spPr>
        <a:xfrm>
          <a:off x="11718269" y="3397105"/>
          <a:ext cx="137160" cy="135143"/>
        </a:xfrm>
        <a:prstGeom prst="ellipse">
          <a:avLst/>
        </a:prstGeom>
        <a:solidFill>
          <a:srgbClr val="FF0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419100</xdr:colOff>
      <xdr:row>25</xdr:row>
      <xdr:rowOff>101600</xdr:rowOff>
    </xdr:from>
    <xdr:to>
      <xdr:col>10</xdr:col>
      <xdr:colOff>419100</xdr:colOff>
      <xdr:row>35</xdr:row>
      <xdr:rowOff>25400</xdr:rowOff>
    </xdr:to>
    <xdr:sp macro="" textlink="">
      <xdr:nvSpPr>
        <xdr:cNvPr id="89" name="Oval 88">
          <a:extLst>
            <a:ext uri="{FF2B5EF4-FFF2-40B4-BE49-F238E27FC236}">
              <a16:creationId xmlns:a16="http://schemas.microsoft.com/office/drawing/2014/main" id="{0B25BAE1-765A-BDB3-1BA7-AC6835A564EB}"/>
            </a:ext>
          </a:extLst>
        </xdr:cNvPr>
        <xdr:cNvSpPr/>
      </xdr:nvSpPr>
      <xdr:spPr>
        <a:xfrm>
          <a:off x="4686300" y="4864100"/>
          <a:ext cx="1828800" cy="182880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215899</xdr:colOff>
      <xdr:row>26</xdr:row>
      <xdr:rowOff>183197</xdr:rowOff>
    </xdr:from>
    <xdr:to>
      <xdr:col>10</xdr:col>
      <xdr:colOff>93979</xdr:colOff>
      <xdr:row>32</xdr:row>
      <xdr:rowOff>137477</xdr:rowOff>
    </xdr:to>
    <xdr:sp macro="" textlink="">
      <xdr:nvSpPr>
        <xdr:cNvPr id="85" name="Oval 84">
          <a:extLst>
            <a:ext uri="{FF2B5EF4-FFF2-40B4-BE49-F238E27FC236}">
              <a16:creationId xmlns:a16="http://schemas.microsoft.com/office/drawing/2014/main" id="{400F5667-6352-F5F7-3BB1-E4D2DC12AF04}"/>
            </a:ext>
          </a:extLst>
        </xdr:cNvPr>
        <xdr:cNvSpPr/>
      </xdr:nvSpPr>
      <xdr:spPr>
        <a:xfrm>
          <a:off x="5092699" y="5136197"/>
          <a:ext cx="1097280" cy="1097280"/>
        </a:xfrm>
        <a:prstGeom prst="ellipse">
          <a:avLst/>
        </a:prstGeom>
        <a:gradFill>
          <a:gsLst>
            <a:gs pos="0">
              <a:srgbClr val="3647E3"/>
            </a:gs>
            <a:gs pos="100000">
              <a:srgbClr val="212469"/>
            </a:gs>
          </a:gsLst>
          <a:lin ang="8100000" scaled="1"/>
        </a:gradFill>
        <a:ln w="9525">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546100</xdr:colOff>
      <xdr:row>23</xdr:row>
      <xdr:rowOff>177799</xdr:rowOff>
    </xdr:from>
    <xdr:to>
      <xdr:col>11</xdr:col>
      <xdr:colOff>355600</xdr:colOff>
      <xdr:row>38</xdr:row>
      <xdr:rowOff>127000</xdr:rowOff>
    </xdr:to>
    <xdr:graphicFrame macro="">
      <xdr:nvGraphicFramePr>
        <xdr:cNvPr id="84" name="Chart 83">
          <a:extLst>
            <a:ext uri="{FF2B5EF4-FFF2-40B4-BE49-F238E27FC236}">
              <a16:creationId xmlns:a16="http://schemas.microsoft.com/office/drawing/2014/main" id="{64EE42A0-1406-42F8-BD91-6AA14C562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xdr:col>
      <xdr:colOff>368300</xdr:colOff>
      <xdr:row>24</xdr:row>
      <xdr:rowOff>130809</xdr:rowOff>
    </xdr:from>
    <xdr:to>
      <xdr:col>10</xdr:col>
      <xdr:colOff>551180</xdr:colOff>
      <xdr:row>35</xdr:row>
      <xdr:rowOff>46989</xdr:rowOff>
    </xdr:to>
    <xdr:sp macro="" textlink="">
      <xdr:nvSpPr>
        <xdr:cNvPr id="87" name="Circle: Hollow 86">
          <a:extLst>
            <a:ext uri="{FF2B5EF4-FFF2-40B4-BE49-F238E27FC236}">
              <a16:creationId xmlns:a16="http://schemas.microsoft.com/office/drawing/2014/main" id="{4191781F-61D2-2FC5-6239-3CA34A329A44}"/>
            </a:ext>
          </a:extLst>
        </xdr:cNvPr>
        <xdr:cNvSpPr/>
      </xdr:nvSpPr>
      <xdr:spPr>
        <a:xfrm>
          <a:off x="4646613" y="4512309"/>
          <a:ext cx="2016442" cy="1924368"/>
        </a:xfrm>
        <a:prstGeom prst="donut">
          <a:avLst>
            <a:gd name="adj" fmla="val 9844"/>
          </a:avLst>
        </a:prstGeom>
        <a:solidFill>
          <a:srgbClr val="10123A"/>
        </a:solidFill>
        <a:ln>
          <a:noFill/>
        </a:ln>
        <a:effectLst>
          <a:outerShdw blurRad="546100" sx="91000" sy="91000" algn="ctr" rotWithShape="0">
            <a:prstClr val="black">
              <a:alpha val="8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349250</xdr:colOff>
      <xdr:row>27</xdr:row>
      <xdr:rowOff>119062</xdr:rowOff>
    </xdr:from>
    <xdr:to>
      <xdr:col>9</xdr:col>
      <xdr:colOff>561022</xdr:colOff>
      <xdr:row>32</xdr:row>
      <xdr:rowOff>29210</xdr:rowOff>
    </xdr:to>
    <xdr:sp macro="" textlink="">
      <xdr:nvSpPr>
        <xdr:cNvPr id="90" name="Oval 89">
          <a:extLst>
            <a:ext uri="{FF2B5EF4-FFF2-40B4-BE49-F238E27FC236}">
              <a16:creationId xmlns:a16="http://schemas.microsoft.com/office/drawing/2014/main" id="{11EEC78B-AEFF-01FB-1D0E-9C357489E602}"/>
            </a:ext>
          </a:extLst>
        </xdr:cNvPr>
        <xdr:cNvSpPr/>
      </xdr:nvSpPr>
      <xdr:spPr>
        <a:xfrm>
          <a:off x="5238750" y="5048250"/>
          <a:ext cx="822960" cy="822960"/>
        </a:xfrm>
        <a:prstGeom prst="ellipse">
          <a:avLst/>
        </a:prstGeom>
        <a:solidFill>
          <a:srgbClr val="10123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34395</xdr:colOff>
      <xdr:row>27</xdr:row>
      <xdr:rowOff>18521</xdr:rowOff>
    </xdr:from>
    <xdr:to>
      <xdr:col>10</xdr:col>
      <xdr:colOff>412220</xdr:colOff>
      <xdr:row>32</xdr:row>
      <xdr:rowOff>138981</xdr:rowOff>
    </xdr:to>
    <xdr:graphicFrame macro="">
      <xdr:nvGraphicFramePr>
        <xdr:cNvPr id="91" name="Chart 90">
          <a:extLst>
            <a:ext uri="{FF2B5EF4-FFF2-40B4-BE49-F238E27FC236}">
              <a16:creationId xmlns:a16="http://schemas.microsoft.com/office/drawing/2014/main" id="{2ECFC379-6F6C-412A-B811-F173806BC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7</xdr:col>
      <xdr:colOff>248711</xdr:colOff>
      <xdr:row>21</xdr:row>
      <xdr:rowOff>142663</xdr:rowOff>
    </xdr:from>
    <xdr:to>
      <xdr:col>8</xdr:col>
      <xdr:colOff>391584</xdr:colOff>
      <xdr:row>23</xdr:row>
      <xdr:rowOff>137582</xdr:rowOff>
    </xdr:to>
    <xdr:sp macro="" textlink="Processing!A16">
      <xdr:nvSpPr>
        <xdr:cNvPr id="92" name="TextBox 91">
          <a:extLst>
            <a:ext uri="{FF2B5EF4-FFF2-40B4-BE49-F238E27FC236}">
              <a16:creationId xmlns:a16="http://schemas.microsoft.com/office/drawing/2014/main" id="{C9D794E3-DC3A-1B4D-61DB-15480E4884AC}"/>
            </a:ext>
          </a:extLst>
        </xdr:cNvPr>
        <xdr:cNvSpPr txBox="1"/>
      </xdr:nvSpPr>
      <xdr:spPr>
        <a:xfrm>
          <a:off x="4545544" y="3920913"/>
          <a:ext cx="756707" cy="354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E4CBC62-D5A6-4207-B924-5C6D17144A2A}" type="TxLink">
            <a:rPr lang="en-US" sz="1400" b="1" i="1" u="none" strike="noStrike">
              <a:solidFill>
                <a:schemeClr val="bg1"/>
              </a:solidFill>
              <a:latin typeface="Aptos Narrow"/>
            </a:rPr>
            <a:pPr algn="r"/>
            <a:t>Budegt</a:t>
          </a:fld>
          <a:endParaRPr lang="en-US" sz="1400" b="1" i="1">
            <a:solidFill>
              <a:schemeClr val="bg1"/>
            </a:solidFill>
          </a:endParaRPr>
        </a:p>
      </xdr:txBody>
    </xdr:sp>
    <xdr:clientData/>
  </xdr:twoCellAnchor>
  <xdr:twoCellAnchor>
    <xdr:from>
      <xdr:col>9</xdr:col>
      <xdr:colOff>455086</xdr:colOff>
      <xdr:row>21</xdr:row>
      <xdr:rowOff>158538</xdr:rowOff>
    </xdr:from>
    <xdr:to>
      <xdr:col>11</xdr:col>
      <xdr:colOff>222250</xdr:colOff>
      <xdr:row>23</xdr:row>
      <xdr:rowOff>153457</xdr:rowOff>
    </xdr:to>
    <xdr:sp macro="" textlink="Processing!B16">
      <xdr:nvSpPr>
        <xdr:cNvPr id="93" name="TextBox 92">
          <a:extLst>
            <a:ext uri="{FF2B5EF4-FFF2-40B4-BE49-F238E27FC236}">
              <a16:creationId xmlns:a16="http://schemas.microsoft.com/office/drawing/2014/main" id="{F3BEEF19-A8AE-AB5D-9095-A8C64C9836D7}"/>
            </a:ext>
          </a:extLst>
        </xdr:cNvPr>
        <xdr:cNvSpPr txBox="1"/>
      </xdr:nvSpPr>
      <xdr:spPr>
        <a:xfrm>
          <a:off x="5955774" y="3992351"/>
          <a:ext cx="989539" cy="36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C9D3E8D-52D8-4F2C-8048-765B1CA0816D}" type="TxLink">
            <a:rPr lang="en-US" sz="1400" b="0" i="0" u="none" strike="noStrike">
              <a:solidFill>
                <a:schemeClr val="tx2">
                  <a:lumMod val="25000"/>
                  <a:lumOff val="75000"/>
                </a:schemeClr>
              </a:solidFill>
              <a:latin typeface="Aptos Narrow"/>
            </a:rPr>
            <a:pPr algn="l"/>
            <a:t>$281,096</a:t>
          </a:fld>
          <a:endParaRPr lang="en-US" sz="1600" b="1" i="1">
            <a:solidFill>
              <a:schemeClr val="tx2">
                <a:lumMod val="25000"/>
                <a:lumOff val="75000"/>
              </a:schemeClr>
            </a:solidFill>
          </a:endParaRPr>
        </a:p>
      </xdr:txBody>
    </xdr:sp>
    <xdr:clientData/>
  </xdr:twoCellAnchor>
  <xdr:twoCellAnchor>
    <xdr:from>
      <xdr:col>8</xdr:col>
      <xdr:colOff>379112</xdr:colOff>
      <xdr:row>28</xdr:row>
      <xdr:rowOff>127796</xdr:rowOff>
    </xdr:from>
    <xdr:to>
      <xdr:col>9</xdr:col>
      <xdr:colOff>521986</xdr:colOff>
      <xdr:row>30</xdr:row>
      <xdr:rowOff>122715</xdr:rowOff>
    </xdr:to>
    <xdr:sp macro="" textlink="Processing!B26">
      <xdr:nvSpPr>
        <xdr:cNvPr id="94" name="TextBox 93">
          <a:extLst>
            <a:ext uri="{FF2B5EF4-FFF2-40B4-BE49-F238E27FC236}">
              <a16:creationId xmlns:a16="http://schemas.microsoft.com/office/drawing/2014/main" id="{2C574D7F-3821-D0C0-0147-3301BCEFD08D}"/>
            </a:ext>
          </a:extLst>
        </xdr:cNvPr>
        <xdr:cNvSpPr txBox="1"/>
      </xdr:nvSpPr>
      <xdr:spPr>
        <a:xfrm>
          <a:off x="5241398" y="5207796"/>
          <a:ext cx="750659" cy="35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CF570D-1588-4FC6-90A3-9D76975A7EA9}" type="TxLink">
            <a:rPr lang="en-US" sz="1800" b="0" i="0" u="none" strike="noStrike">
              <a:solidFill>
                <a:schemeClr val="tx2">
                  <a:lumMod val="25000"/>
                  <a:lumOff val="75000"/>
                </a:schemeClr>
              </a:solidFill>
              <a:latin typeface="Aptos Narrow"/>
            </a:rPr>
            <a:pPr algn="ctr"/>
            <a:t>6%</a:t>
          </a:fld>
          <a:endParaRPr lang="en-US" sz="2000" b="1" i="1">
            <a:solidFill>
              <a:schemeClr val="tx2">
                <a:lumMod val="25000"/>
                <a:lumOff val="75000"/>
              </a:schemeClr>
            </a:solidFill>
          </a:endParaRPr>
        </a:p>
      </xdr:txBody>
    </xdr:sp>
    <xdr:clientData/>
  </xdr:twoCellAnchor>
  <xdr:twoCellAnchor>
    <xdr:from>
      <xdr:col>13</xdr:col>
      <xdr:colOff>150813</xdr:colOff>
      <xdr:row>26</xdr:row>
      <xdr:rowOff>55562</xdr:rowOff>
    </xdr:from>
    <xdr:to>
      <xdr:col>14</xdr:col>
      <xdr:colOff>399162</xdr:colOff>
      <xdr:row>29</xdr:row>
      <xdr:rowOff>7556</xdr:rowOff>
    </xdr:to>
    <xdr:grpSp>
      <xdr:nvGrpSpPr>
        <xdr:cNvPr id="22" name="Group 21">
          <a:extLst>
            <a:ext uri="{FF2B5EF4-FFF2-40B4-BE49-F238E27FC236}">
              <a16:creationId xmlns:a16="http://schemas.microsoft.com/office/drawing/2014/main" id="{0010D0A9-3B8D-CA48-F375-59C8CD1FD303}"/>
            </a:ext>
          </a:extLst>
        </xdr:cNvPr>
        <xdr:cNvGrpSpPr/>
      </xdr:nvGrpSpPr>
      <xdr:grpSpPr>
        <a:xfrm>
          <a:off x="7951788" y="4760912"/>
          <a:ext cx="848424" cy="494919"/>
          <a:chOff x="8096251" y="4802187"/>
          <a:chExt cx="859536" cy="499682"/>
        </a:xfrm>
      </xdr:grpSpPr>
      <xdr:sp macro="" textlink="">
        <xdr:nvSpPr>
          <xdr:cNvPr id="20" name="Oval 19">
            <a:extLst>
              <a:ext uri="{FF2B5EF4-FFF2-40B4-BE49-F238E27FC236}">
                <a16:creationId xmlns:a16="http://schemas.microsoft.com/office/drawing/2014/main" id="{50146504-6772-E28F-5137-BA0F577092AA}"/>
              </a:ext>
            </a:extLst>
          </xdr:cNvPr>
          <xdr:cNvSpPr/>
        </xdr:nvSpPr>
        <xdr:spPr>
          <a:xfrm>
            <a:off x="8310563" y="4802187"/>
            <a:ext cx="457200" cy="457200"/>
          </a:xfrm>
          <a:prstGeom prst="ellipse">
            <a:avLst/>
          </a:prstGeom>
          <a:solidFill>
            <a:srgbClr val="8D76FC">
              <a:alpha val="54000"/>
            </a:srgbClr>
          </a:solidFill>
          <a:ln w="12700">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EAE4945F-D400-1869-59F9-3F9BAACFB14F}"/>
              </a:ext>
            </a:extLst>
          </xdr:cNvPr>
          <xdr:cNvSpPr/>
        </xdr:nvSpPr>
        <xdr:spPr>
          <a:xfrm>
            <a:off x="8096251" y="5064125"/>
            <a:ext cx="859536" cy="237744"/>
          </a:xfrm>
          <a:prstGeom prst="rect">
            <a:avLst/>
          </a:prstGeom>
          <a:solidFill>
            <a:srgbClr val="1012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45860</xdr:colOff>
      <xdr:row>20</xdr:row>
      <xdr:rowOff>97015</xdr:rowOff>
    </xdr:from>
    <xdr:to>
      <xdr:col>17</xdr:col>
      <xdr:colOff>339547</xdr:colOff>
      <xdr:row>35</xdr:row>
      <xdr:rowOff>101777</xdr:rowOff>
    </xdr:to>
    <xdr:graphicFrame macro="">
      <xdr:nvGraphicFramePr>
        <xdr:cNvPr id="19" name="Chart 18">
          <a:extLst>
            <a:ext uri="{FF2B5EF4-FFF2-40B4-BE49-F238E27FC236}">
              <a16:creationId xmlns:a16="http://schemas.microsoft.com/office/drawing/2014/main" id="{E3D3DF8C-203D-430D-BA04-E17FD2CFD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11</xdr:col>
      <xdr:colOff>287517</xdr:colOff>
      <xdr:row>22</xdr:row>
      <xdr:rowOff>15663</xdr:rowOff>
    </xdr:from>
    <xdr:to>
      <xdr:col>12</xdr:col>
      <xdr:colOff>430390</xdr:colOff>
      <xdr:row>24</xdr:row>
      <xdr:rowOff>10582</xdr:rowOff>
    </xdr:to>
    <xdr:sp macro="" textlink="Processing!G24">
      <xdr:nvSpPr>
        <xdr:cNvPr id="27" name="TextBox 26">
          <a:extLst>
            <a:ext uri="{FF2B5EF4-FFF2-40B4-BE49-F238E27FC236}">
              <a16:creationId xmlns:a16="http://schemas.microsoft.com/office/drawing/2014/main" id="{46A6D1D5-44FB-689A-EF60-858F2BA5B29A}"/>
            </a:ext>
          </a:extLst>
        </xdr:cNvPr>
        <xdr:cNvSpPr txBox="1"/>
      </xdr:nvSpPr>
      <xdr:spPr>
        <a:xfrm>
          <a:off x="7010580" y="4032038"/>
          <a:ext cx="754060" cy="36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08A0B92-63FC-41E0-9F26-27CEB23E9605}" type="TxLink">
            <a:rPr lang="en-US" sz="1400" b="1" i="1" u="none" strike="noStrike">
              <a:solidFill>
                <a:schemeClr val="bg1"/>
              </a:solidFill>
              <a:latin typeface="Aptos Narrow"/>
              <a:ea typeface="+mn-ea"/>
              <a:cs typeface="+mn-cs"/>
            </a:rPr>
            <a:pPr marL="0" indent="0" algn="r"/>
            <a:t>Invest</a:t>
          </a:fld>
          <a:endParaRPr lang="en-US" sz="1400" b="1" i="1" u="none" strike="noStrike">
            <a:solidFill>
              <a:schemeClr val="bg1"/>
            </a:solidFill>
            <a:latin typeface="Aptos Narrow"/>
            <a:ea typeface="+mn-ea"/>
            <a:cs typeface="+mn-cs"/>
          </a:endParaRPr>
        </a:p>
      </xdr:txBody>
    </xdr:sp>
    <xdr:clientData/>
  </xdr:twoCellAnchor>
  <xdr:twoCellAnchor>
    <xdr:from>
      <xdr:col>14</xdr:col>
      <xdr:colOff>529170</xdr:colOff>
      <xdr:row>22</xdr:row>
      <xdr:rowOff>23601</xdr:rowOff>
    </xdr:from>
    <xdr:to>
      <xdr:col>16</xdr:col>
      <xdr:colOff>296334</xdr:colOff>
      <xdr:row>24</xdr:row>
      <xdr:rowOff>18520</xdr:rowOff>
    </xdr:to>
    <xdr:sp macro="" textlink="Processing!H24">
      <xdr:nvSpPr>
        <xdr:cNvPr id="32" name="TextBox 31">
          <a:extLst>
            <a:ext uri="{FF2B5EF4-FFF2-40B4-BE49-F238E27FC236}">
              <a16:creationId xmlns:a16="http://schemas.microsoft.com/office/drawing/2014/main" id="{03C9114D-ACA5-6CF1-AA43-A262FC919351}"/>
            </a:ext>
          </a:extLst>
        </xdr:cNvPr>
        <xdr:cNvSpPr txBox="1"/>
      </xdr:nvSpPr>
      <xdr:spPr>
        <a:xfrm>
          <a:off x="9085795" y="4039976"/>
          <a:ext cx="989539" cy="36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14A13A3-2F80-4D92-BA43-F3C4056C2E86}" type="TxLink">
            <a:rPr lang="en-US" sz="1400" b="0" i="0" u="none" strike="noStrike">
              <a:solidFill>
                <a:schemeClr val="tx2">
                  <a:lumMod val="25000"/>
                  <a:lumOff val="75000"/>
                </a:schemeClr>
              </a:solidFill>
              <a:latin typeface="Aptos Narrow"/>
              <a:ea typeface="+mn-ea"/>
              <a:cs typeface="+mn-cs"/>
            </a:rPr>
            <a:pPr marL="0" indent="0" algn="l"/>
            <a:t>$121</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11</xdr:col>
      <xdr:colOff>251853</xdr:colOff>
      <xdr:row>29</xdr:row>
      <xdr:rowOff>99083</xdr:rowOff>
    </xdr:from>
    <xdr:to>
      <xdr:col>15</xdr:col>
      <xdr:colOff>488213</xdr:colOff>
      <xdr:row>36</xdr:row>
      <xdr:rowOff>112887</xdr:rowOff>
    </xdr:to>
    <xdr:graphicFrame macro="">
      <xdr:nvGraphicFramePr>
        <xdr:cNvPr id="31" name="Chart 30">
          <a:extLst>
            <a:ext uri="{FF2B5EF4-FFF2-40B4-BE49-F238E27FC236}">
              <a16:creationId xmlns:a16="http://schemas.microsoft.com/office/drawing/2014/main" id="{82C7769F-7B7B-48AC-B3EE-0ECD08189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13</xdr:col>
      <xdr:colOff>212500</xdr:colOff>
      <xdr:row>29</xdr:row>
      <xdr:rowOff>55416</xdr:rowOff>
    </xdr:from>
    <xdr:to>
      <xdr:col>14</xdr:col>
      <xdr:colOff>355180</xdr:colOff>
      <xdr:row>31</xdr:row>
      <xdr:rowOff>51301</xdr:rowOff>
    </xdr:to>
    <xdr:sp macro="" textlink="Processing!M15">
      <xdr:nvSpPr>
        <xdr:cNvPr id="34" name="TextBox 33">
          <a:extLst>
            <a:ext uri="{FF2B5EF4-FFF2-40B4-BE49-F238E27FC236}">
              <a16:creationId xmlns:a16="http://schemas.microsoft.com/office/drawing/2014/main" id="{46FBE998-6EE0-1F6B-92BD-CCE03B8D67AA}"/>
            </a:ext>
          </a:extLst>
        </xdr:cNvPr>
        <xdr:cNvSpPr txBox="1"/>
      </xdr:nvSpPr>
      <xdr:spPr>
        <a:xfrm>
          <a:off x="8113714" y="5316845"/>
          <a:ext cx="750466" cy="35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0C01959-C065-4588-B729-F2A11812502D}" type="TxLink">
            <a:rPr lang="en-US" sz="1200" b="1" i="1" u="none" strike="noStrike">
              <a:solidFill>
                <a:schemeClr val="bg1"/>
              </a:solidFill>
              <a:latin typeface="Aptos Narrow"/>
              <a:ea typeface="+mn-ea"/>
              <a:cs typeface="+mn-cs"/>
            </a:rPr>
            <a:pPr marL="0" indent="0" algn="r"/>
            <a:t>Debts</a:t>
          </a:fld>
          <a:endParaRPr lang="en-US" sz="1200" b="1" i="1" u="none" strike="noStrike">
            <a:solidFill>
              <a:schemeClr val="bg1"/>
            </a:solidFill>
            <a:latin typeface="Aptos Narrow"/>
            <a:ea typeface="+mn-ea"/>
            <a:cs typeface="+mn-cs"/>
          </a:endParaRPr>
        </a:p>
      </xdr:txBody>
    </xdr:sp>
    <xdr:clientData/>
  </xdr:twoCellAnchor>
  <xdr:twoCellAnchor>
    <xdr:from>
      <xdr:col>23</xdr:col>
      <xdr:colOff>538420</xdr:colOff>
      <xdr:row>30</xdr:row>
      <xdr:rowOff>177785</xdr:rowOff>
    </xdr:from>
    <xdr:to>
      <xdr:col>25</xdr:col>
      <xdr:colOff>305583</xdr:colOff>
      <xdr:row>32</xdr:row>
      <xdr:rowOff>172704</xdr:rowOff>
    </xdr:to>
    <xdr:sp macro="" textlink="Processing!O20">
      <xdr:nvSpPr>
        <xdr:cNvPr id="36" name="TextBox 35">
          <a:extLst>
            <a:ext uri="{FF2B5EF4-FFF2-40B4-BE49-F238E27FC236}">
              <a16:creationId xmlns:a16="http://schemas.microsoft.com/office/drawing/2014/main" id="{068E8A11-EF0A-1E16-A05B-249D3DCC152A}"/>
            </a:ext>
          </a:extLst>
        </xdr:cNvPr>
        <xdr:cNvSpPr txBox="1"/>
      </xdr:nvSpPr>
      <xdr:spPr>
        <a:xfrm>
          <a:off x="14517491" y="5620642"/>
          <a:ext cx="982735" cy="35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EC8FCC-96DD-489D-9D1F-BDA06E3B6D0B}" type="TxLink">
            <a:rPr lang="en-US" sz="1200" b="0" i="0" u="none" strike="noStrike">
              <a:solidFill>
                <a:schemeClr val="tx2">
                  <a:lumMod val="25000"/>
                  <a:lumOff val="75000"/>
                </a:schemeClr>
              </a:solidFill>
              <a:latin typeface="Aptos Narrow"/>
              <a:ea typeface="+mn-ea"/>
              <a:cs typeface="+mn-cs"/>
            </a:rPr>
            <a:pPr marL="0" indent="0" algn="l"/>
            <a:t> $95.42 </a:t>
          </a:fld>
          <a:endParaRPr lang="en-US" sz="1200" b="0" i="0" u="none" strike="noStrike">
            <a:solidFill>
              <a:schemeClr val="tx2">
                <a:lumMod val="25000"/>
                <a:lumOff val="75000"/>
              </a:schemeClr>
            </a:solidFill>
            <a:latin typeface="Aptos Narrow"/>
            <a:ea typeface="+mn-ea"/>
            <a:cs typeface="+mn-cs"/>
          </a:endParaRPr>
        </a:p>
      </xdr:txBody>
    </xdr:sp>
    <xdr:clientData/>
  </xdr:twoCellAnchor>
  <xdr:twoCellAnchor>
    <xdr:from>
      <xdr:col>15</xdr:col>
      <xdr:colOff>586492</xdr:colOff>
      <xdr:row>21</xdr:row>
      <xdr:rowOff>164924</xdr:rowOff>
    </xdr:from>
    <xdr:to>
      <xdr:col>21</xdr:col>
      <xdr:colOff>324696</xdr:colOff>
      <xdr:row>35</xdr:row>
      <xdr:rowOff>66464</xdr:rowOff>
    </xdr:to>
    <xdr:graphicFrame macro="">
      <xdr:nvGraphicFramePr>
        <xdr:cNvPr id="30" name="Chart 29">
          <a:extLst>
            <a:ext uri="{FF2B5EF4-FFF2-40B4-BE49-F238E27FC236}">
              <a16:creationId xmlns:a16="http://schemas.microsoft.com/office/drawing/2014/main" id="{1BCFFA50-F3C3-49D4-A6D9-81FC4CBC2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17</xdr:col>
      <xdr:colOff>449797</xdr:colOff>
      <xdr:row>22</xdr:row>
      <xdr:rowOff>140017</xdr:rowOff>
    </xdr:from>
    <xdr:to>
      <xdr:col>18</xdr:col>
      <xdr:colOff>571502</xdr:colOff>
      <xdr:row>24</xdr:row>
      <xdr:rowOff>134936</xdr:rowOff>
    </xdr:to>
    <xdr:sp macro="" textlink="Processing!C34">
      <xdr:nvSpPr>
        <xdr:cNvPr id="50" name="TextBox 49">
          <a:extLst>
            <a:ext uri="{FF2B5EF4-FFF2-40B4-BE49-F238E27FC236}">
              <a16:creationId xmlns:a16="http://schemas.microsoft.com/office/drawing/2014/main" id="{F4680B46-FF92-6A71-FD63-3022E125646C}"/>
            </a:ext>
          </a:extLst>
        </xdr:cNvPr>
        <xdr:cNvSpPr txBox="1"/>
      </xdr:nvSpPr>
      <xdr:spPr>
        <a:xfrm>
          <a:off x="10839985" y="4156392"/>
          <a:ext cx="732892" cy="36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6103650-D3A6-4233-BE08-769502D43150}" type="TxLink">
            <a:rPr lang="en-US" sz="1100" b="1" i="1" u="none" strike="noStrike">
              <a:solidFill>
                <a:srgbClr val="FFFFFF"/>
              </a:solidFill>
              <a:latin typeface="Aptos Narrow"/>
              <a:ea typeface="+mn-ea"/>
              <a:cs typeface="+mn-cs"/>
            </a:rPr>
            <a:pPr marL="0" indent="0" algn="l"/>
            <a:t>Goal 2</a:t>
          </a:fld>
          <a:endParaRPr lang="en-US" sz="1400" b="1" i="1" u="none" strike="noStrike">
            <a:solidFill>
              <a:schemeClr val="tx2">
                <a:lumMod val="25000"/>
                <a:lumOff val="75000"/>
              </a:schemeClr>
            </a:solidFill>
            <a:latin typeface="Aptos Narrow"/>
            <a:ea typeface="+mn-ea"/>
            <a:cs typeface="+mn-cs"/>
          </a:endParaRPr>
        </a:p>
      </xdr:txBody>
    </xdr:sp>
    <xdr:clientData/>
  </xdr:twoCellAnchor>
  <xdr:twoCellAnchor>
    <xdr:from>
      <xdr:col>17</xdr:col>
      <xdr:colOff>441859</xdr:colOff>
      <xdr:row>21</xdr:row>
      <xdr:rowOff>174412</xdr:rowOff>
    </xdr:from>
    <xdr:to>
      <xdr:col>18</xdr:col>
      <xdr:colOff>563564</xdr:colOff>
      <xdr:row>23</xdr:row>
      <xdr:rowOff>169331</xdr:rowOff>
    </xdr:to>
    <xdr:sp macro="" textlink="Processing!B34">
      <xdr:nvSpPr>
        <xdr:cNvPr id="47" name="TextBox 46">
          <a:extLst>
            <a:ext uri="{FF2B5EF4-FFF2-40B4-BE49-F238E27FC236}">
              <a16:creationId xmlns:a16="http://schemas.microsoft.com/office/drawing/2014/main" id="{74D5B28C-0EC3-D0FC-159B-84D9F2D1B07F}"/>
            </a:ext>
          </a:extLst>
        </xdr:cNvPr>
        <xdr:cNvSpPr txBox="1"/>
      </xdr:nvSpPr>
      <xdr:spPr>
        <a:xfrm>
          <a:off x="10832047" y="4008225"/>
          <a:ext cx="732892" cy="36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899984-CC9A-4DFC-9EDA-459D4990FA59}" type="TxLink">
            <a:rPr lang="en-US" sz="1100" b="1" i="1" u="none" strike="noStrike">
              <a:solidFill>
                <a:srgbClr val="FFFFFF"/>
              </a:solidFill>
              <a:latin typeface="Aptos Narrow"/>
              <a:ea typeface="+mn-ea"/>
              <a:cs typeface="+mn-cs"/>
            </a:rPr>
            <a:pPr marL="0" indent="0" algn="l"/>
            <a:t>Goal 1</a:t>
          </a:fld>
          <a:endParaRPr lang="en-US" sz="1400" b="1" i="1" u="none" strike="noStrike">
            <a:solidFill>
              <a:schemeClr val="tx2">
                <a:lumMod val="25000"/>
                <a:lumOff val="75000"/>
              </a:schemeClr>
            </a:solidFill>
            <a:latin typeface="Aptos Narrow"/>
            <a:ea typeface="+mn-ea"/>
            <a:cs typeface="+mn-cs"/>
          </a:endParaRPr>
        </a:p>
      </xdr:txBody>
    </xdr:sp>
    <xdr:clientData/>
  </xdr:twoCellAnchor>
  <xdr:twoCellAnchor>
    <xdr:from>
      <xdr:col>17</xdr:col>
      <xdr:colOff>449797</xdr:colOff>
      <xdr:row>23</xdr:row>
      <xdr:rowOff>105621</xdr:rowOff>
    </xdr:from>
    <xdr:to>
      <xdr:col>18</xdr:col>
      <xdr:colOff>571502</xdr:colOff>
      <xdr:row>25</xdr:row>
      <xdr:rowOff>100540</xdr:rowOff>
    </xdr:to>
    <xdr:sp macro="" textlink="Processing!D34">
      <xdr:nvSpPr>
        <xdr:cNvPr id="53" name="TextBox 52">
          <a:extLst>
            <a:ext uri="{FF2B5EF4-FFF2-40B4-BE49-F238E27FC236}">
              <a16:creationId xmlns:a16="http://schemas.microsoft.com/office/drawing/2014/main" id="{B4A95687-6096-FB99-37A3-69603408285F}"/>
            </a:ext>
          </a:extLst>
        </xdr:cNvPr>
        <xdr:cNvSpPr txBox="1"/>
      </xdr:nvSpPr>
      <xdr:spPr>
        <a:xfrm>
          <a:off x="10839985" y="4304559"/>
          <a:ext cx="732892" cy="36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5ED8454-5558-468A-B75A-64C746785778}" type="TxLink">
            <a:rPr lang="en-US" sz="1100" b="1" i="1" u="none" strike="noStrike">
              <a:solidFill>
                <a:srgbClr val="FFFFFF"/>
              </a:solidFill>
              <a:latin typeface="Aptos Narrow"/>
              <a:ea typeface="+mn-ea"/>
              <a:cs typeface="+mn-cs"/>
            </a:rPr>
            <a:pPr marL="0" indent="0" algn="l"/>
            <a:t>Goal 3</a:t>
          </a:fld>
          <a:endParaRPr lang="en-US" sz="1400" b="1" i="1" u="none" strike="noStrike">
            <a:solidFill>
              <a:schemeClr val="tx2">
                <a:lumMod val="25000"/>
                <a:lumOff val="75000"/>
              </a:schemeClr>
            </a:solidFill>
            <a:latin typeface="Aptos Narrow"/>
            <a:ea typeface="+mn-ea"/>
            <a:cs typeface="+mn-cs"/>
          </a:endParaRPr>
        </a:p>
      </xdr:txBody>
    </xdr:sp>
    <xdr:clientData/>
  </xdr:twoCellAnchor>
  <xdr:twoCellAnchor>
    <xdr:from>
      <xdr:col>17</xdr:col>
      <xdr:colOff>449797</xdr:colOff>
      <xdr:row>24</xdr:row>
      <xdr:rowOff>71225</xdr:rowOff>
    </xdr:from>
    <xdr:to>
      <xdr:col>18</xdr:col>
      <xdr:colOff>571502</xdr:colOff>
      <xdr:row>26</xdr:row>
      <xdr:rowOff>66144</xdr:rowOff>
    </xdr:to>
    <xdr:sp macro="" textlink="Processing!E34">
      <xdr:nvSpPr>
        <xdr:cNvPr id="60" name="TextBox 59">
          <a:extLst>
            <a:ext uri="{FF2B5EF4-FFF2-40B4-BE49-F238E27FC236}">
              <a16:creationId xmlns:a16="http://schemas.microsoft.com/office/drawing/2014/main" id="{3C418581-2CD9-7D29-230E-497A96CD08DE}"/>
            </a:ext>
          </a:extLst>
        </xdr:cNvPr>
        <xdr:cNvSpPr txBox="1"/>
      </xdr:nvSpPr>
      <xdr:spPr>
        <a:xfrm>
          <a:off x="10839985" y="4452725"/>
          <a:ext cx="732892" cy="36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DD03D9-5F3C-4F89-96EB-D6D7A56F233E}" type="TxLink">
            <a:rPr lang="en-US" sz="1100" b="1" i="1" u="none" strike="noStrike">
              <a:solidFill>
                <a:srgbClr val="FFFFFF"/>
              </a:solidFill>
              <a:latin typeface="Aptos Narrow"/>
              <a:ea typeface="+mn-ea"/>
              <a:cs typeface="+mn-cs"/>
            </a:rPr>
            <a:pPr marL="0" indent="0" algn="l"/>
            <a:t>Goal 4</a:t>
          </a:fld>
          <a:endParaRPr lang="en-US" sz="1400" b="1" i="1" u="none" strike="noStrike">
            <a:solidFill>
              <a:schemeClr val="tx2">
                <a:lumMod val="25000"/>
                <a:lumOff val="75000"/>
              </a:schemeClr>
            </a:solidFill>
            <a:latin typeface="Aptos Narrow"/>
            <a:ea typeface="+mn-ea"/>
            <a:cs typeface="+mn-cs"/>
          </a:endParaRPr>
        </a:p>
      </xdr:txBody>
    </xdr:sp>
    <xdr:clientData/>
  </xdr:twoCellAnchor>
  <xdr:twoCellAnchor>
    <xdr:from>
      <xdr:col>23</xdr:col>
      <xdr:colOff>317881</xdr:colOff>
      <xdr:row>33</xdr:row>
      <xdr:rowOff>8860</xdr:rowOff>
    </xdr:from>
    <xdr:to>
      <xdr:col>25</xdr:col>
      <xdr:colOff>85045</xdr:colOff>
      <xdr:row>35</xdr:row>
      <xdr:rowOff>3779</xdr:rowOff>
    </xdr:to>
    <xdr:sp macro="" textlink="Processing!F35">
      <xdr:nvSpPr>
        <xdr:cNvPr id="61" name="TextBox 60">
          <a:extLst>
            <a:ext uri="{FF2B5EF4-FFF2-40B4-BE49-F238E27FC236}">
              <a16:creationId xmlns:a16="http://schemas.microsoft.com/office/drawing/2014/main" id="{8AB2EBF5-8D57-AB75-9E8C-4D7DBA46DD6B}"/>
            </a:ext>
          </a:extLst>
        </xdr:cNvPr>
        <xdr:cNvSpPr txBox="1"/>
      </xdr:nvSpPr>
      <xdr:spPr>
        <a:xfrm>
          <a:off x="14296952" y="5996003"/>
          <a:ext cx="982736" cy="35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A5ADB9-2CC4-4604-9A35-AA2E683E5678}" type="TxLink">
            <a:rPr lang="en-US" sz="1400" b="0" i="0" u="none" strike="noStrike">
              <a:solidFill>
                <a:schemeClr val="tx2">
                  <a:lumMod val="25000"/>
                  <a:lumOff val="75000"/>
                </a:schemeClr>
              </a:solidFill>
              <a:latin typeface="Aptos Narrow"/>
              <a:ea typeface="+mn-ea"/>
              <a:cs typeface="+mn-cs"/>
            </a:rPr>
            <a:pPr marL="0" indent="0" algn="ctr"/>
            <a:t>$99</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21</xdr:col>
      <xdr:colOff>468313</xdr:colOff>
      <xdr:row>21</xdr:row>
      <xdr:rowOff>103186</xdr:rowOff>
    </xdr:from>
    <xdr:to>
      <xdr:col>22</xdr:col>
      <xdr:colOff>222886</xdr:colOff>
      <xdr:row>23</xdr:row>
      <xdr:rowOff>103821</xdr:rowOff>
    </xdr:to>
    <xdr:sp macro="" textlink="">
      <xdr:nvSpPr>
        <xdr:cNvPr id="62" name="Oval 61">
          <a:extLst>
            <a:ext uri="{FF2B5EF4-FFF2-40B4-BE49-F238E27FC236}">
              <a16:creationId xmlns:a16="http://schemas.microsoft.com/office/drawing/2014/main" id="{6F1582F8-6690-603A-2B3D-5CD79387784B}"/>
            </a:ext>
          </a:extLst>
        </xdr:cNvPr>
        <xdr:cNvSpPr/>
      </xdr:nvSpPr>
      <xdr:spPr>
        <a:xfrm>
          <a:off x="13303251" y="3936999"/>
          <a:ext cx="365760" cy="365760"/>
        </a:xfrm>
        <a:prstGeom prst="ellipse">
          <a:avLst/>
        </a:prstGeom>
        <a:solidFill>
          <a:srgbClr val="FF00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23</xdr:row>
      <xdr:rowOff>168274</xdr:rowOff>
    </xdr:from>
    <xdr:to>
      <xdr:col>22</xdr:col>
      <xdr:colOff>222886</xdr:colOff>
      <xdr:row>25</xdr:row>
      <xdr:rowOff>168909</xdr:rowOff>
    </xdr:to>
    <xdr:sp macro="" textlink="">
      <xdr:nvSpPr>
        <xdr:cNvPr id="63" name="Oval 62">
          <a:extLst>
            <a:ext uri="{FF2B5EF4-FFF2-40B4-BE49-F238E27FC236}">
              <a16:creationId xmlns:a16="http://schemas.microsoft.com/office/drawing/2014/main" id="{4611EF07-5104-018D-89F8-F635AE788C5C}"/>
            </a:ext>
          </a:extLst>
        </xdr:cNvPr>
        <xdr:cNvSpPr/>
      </xdr:nvSpPr>
      <xdr:spPr>
        <a:xfrm>
          <a:off x="13303251" y="4367212"/>
          <a:ext cx="365760" cy="365760"/>
        </a:xfrm>
        <a:prstGeom prst="ellipse">
          <a:avLst/>
        </a:prstGeom>
        <a:solidFill>
          <a:srgbClr val="00B0F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26</xdr:row>
      <xdr:rowOff>50800</xdr:rowOff>
    </xdr:from>
    <xdr:to>
      <xdr:col>22</xdr:col>
      <xdr:colOff>222886</xdr:colOff>
      <xdr:row>28</xdr:row>
      <xdr:rowOff>51435</xdr:rowOff>
    </xdr:to>
    <xdr:sp macro="" textlink="">
      <xdr:nvSpPr>
        <xdr:cNvPr id="64" name="Oval 63">
          <a:extLst>
            <a:ext uri="{FF2B5EF4-FFF2-40B4-BE49-F238E27FC236}">
              <a16:creationId xmlns:a16="http://schemas.microsoft.com/office/drawing/2014/main" id="{A433A4C7-9DB4-CBF0-FC8C-935139BC414B}"/>
            </a:ext>
          </a:extLst>
        </xdr:cNvPr>
        <xdr:cNvSpPr/>
      </xdr:nvSpPr>
      <xdr:spPr>
        <a:xfrm>
          <a:off x="13303251" y="4797425"/>
          <a:ext cx="365760" cy="365760"/>
        </a:xfrm>
        <a:prstGeom prst="ellipse">
          <a:avLst/>
        </a:prstGeom>
        <a:solidFill>
          <a:srgbClr val="AD27FE"/>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28</xdr:row>
      <xdr:rowOff>115888</xdr:rowOff>
    </xdr:from>
    <xdr:to>
      <xdr:col>22</xdr:col>
      <xdr:colOff>222886</xdr:colOff>
      <xdr:row>30</xdr:row>
      <xdr:rowOff>116523</xdr:rowOff>
    </xdr:to>
    <xdr:sp macro="" textlink="">
      <xdr:nvSpPr>
        <xdr:cNvPr id="67" name="Oval 66">
          <a:extLst>
            <a:ext uri="{FF2B5EF4-FFF2-40B4-BE49-F238E27FC236}">
              <a16:creationId xmlns:a16="http://schemas.microsoft.com/office/drawing/2014/main" id="{8346B50C-F70E-5FD3-9AA9-BE2907F1B7E3}"/>
            </a:ext>
          </a:extLst>
        </xdr:cNvPr>
        <xdr:cNvSpPr/>
      </xdr:nvSpPr>
      <xdr:spPr>
        <a:xfrm>
          <a:off x="13303251" y="5227638"/>
          <a:ext cx="365760" cy="365760"/>
        </a:xfrm>
        <a:prstGeom prst="ellipse">
          <a:avLst/>
        </a:prstGeom>
        <a:solidFill>
          <a:srgbClr val="3A5CE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30</xdr:row>
      <xdr:rowOff>180976</xdr:rowOff>
    </xdr:from>
    <xdr:to>
      <xdr:col>22</xdr:col>
      <xdr:colOff>222886</xdr:colOff>
      <xdr:row>32</xdr:row>
      <xdr:rowOff>181611</xdr:rowOff>
    </xdr:to>
    <xdr:sp macro="" textlink="">
      <xdr:nvSpPr>
        <xdr:cNvPr id="68" name="Oval 67">
          <a:extLst>
            <a:ext uri="{FF2B5EF4-FFF2-40B4-BE49-F238E27FC236}">
              <a16:creationId xmlns:a16="http://schemas.microsoft.com/office/drawing/2014/main" id="{E53AD1F5-6B37-AF91-B5CF-EF78195B4CF6}"/>
            </a:ext>
          </a:extLst>
        </xdr:cNvPr>
        <xdr:cNvSpPr/>
      </xdr:nvSpPr>
      <xdr:spPr>
        <a:xfrm>
          <a:off x="13303251" y="5657851"/>
          <a:ext cx="365760" cy="365760"/>
        </a:xfrm>
        <a:prstGeom prst="ellipse">
          <a:avLst/>
        </a:prstGeom>
        <a:solidFill>
          <a:srgbClr val="8D76FC"/>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33</xdr:row>
      <xdr:rowOff>63499</xdr:rowOff>
    </xdr:from>
    <xdr:to>
      <xdr:col>22</xdr:col>
      <xdr:colOff>222886</xdr:colOff>
      <xdr:row>35</xdr:row>
      <xdr:rowOff>64134</xdr:rowOff>
    </xdr:to>
    <xdr:sp macro="" textlink="">
      <xdr:nvSpPr>
        <xdr:cNvPr id="69" name="Oval 68">
          <a:extLst>
            <a:ext uri="{FF2B5EF4-FFF2-40B4-BE49-F238E27FC236}">
              <a16:creationId xmlns:a16="http://schemas.microsoft.com/office/drawing/2014/main" id="{901D3064-96A5-EACB-2785-D8B2FE435D02}"/>
            </a:ext>
          </a:extLst>
        </xdr:cNvPr>
        <xdr:cNvSpPr/>
      </xdr:nvSpPr>
      <xdr:spPr>
        <a:xfrm>
          <a:off x="13303251" y="6088062"/>
          <a:ext cx="365760" cy="365760"/>
        </a:xfrm>
        <a:prstGeom prst="ellipse">
          <a:avLst/>
        </a:prstGeom>
        <a:solidFill>
          <a:srgbClr val="00206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500063</xdr:colOff>
      <xdr:row>21</xdr:row>
      <xdr:rowOff>126999</xdr:rowOff>
    </xdr:from>
    <xdr:to>
      <xdr:col>22</xdr:col>
      <xdr:colOff>201439</xdr:colOff>
      <xdr:row>23</xdr:row>
      <xdr:rowOff>36194</xdr:rowOff>
    </xdr:to>
    <xdr:pic>
      <xdr:nvPicPr>
        <xdr:cNvPr id="70" name="Graphic 69" descr="Treasure chest outline">
          <a:extLst>
            <a:ext uri="{FF2B5EF4-FFF2-40B4-BE49-F238E27FC236}">
              <a16:creationId xmlns:a16="http://schemas.microsoft.com/office/drawing/2014/main" id="{6482A5D5-2E12-9A7A-89A1-4667B12D5100}"/>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335001" y="3960812"/>
          <a:ext cx="312563" cy="274320"/>
        </a:xfrm>
        <a:prstGeom prst="rect">
          <a:avLst/>
        </a:prstGeom>
      </xdr:spPr>
    </xdr:pic>
    <xdr:clientData/>
  </xdr:twoCellAnchor>
  <xdr:twoCellAnchor editAs="oneCell">
    <xdr:from>
      <xdr:col>21</xdr:col>
      <xdr:colOff>497625</xdr:colOff>
      <xdr:row>24</xdr:row>
      <xdr:rowOff>37250</xdr:rowOff>
    </xdr:from>
    <xdr:to>
      <xdr:col>22</xdr:col>
      <xdr:colOff>160758</xdr:colOff>
      <xdr:row>25</xdr:row>
      <xdr:rowOff>129007</xdr:rowOff>
    </xdr:to>
    <xdr:pic>
      <xdr:nvPicPr>
        <xdr:cNvPr id="79" name="Graphic 78" descr="Bar graph with upward trend with solid fill">
          <a:extLst>
            <a:ext uri="{FF2B5EF4-FFF2-40B4-BE49-F238E27FC236}">
              <a16:creationId xmlns:a16="http://schemas.microsoft.com/office/drawing/2014/main" id="{5023E7D3-3E61-1CBD-3977-BAED758889F1}"/>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3332563" y="4418750"/>
          <a:ext cx="274320" cy="274320"/>
        </a:xfrm>
        <a:prstGeom prst="rect">
          <a:avLst/>
        </a:prstGeom>
      </xdr:spPr>
    </xdr:pic>
    <xdr:clientData/>
  </xdr:twoCellAnchor>
  <xdr:twoCellAnchor editAs="oneCell">
    <xdr:from>
      <xdr:col>21</xdr:col>
      <xdr:colOff>528319</xdr:colOff>
      <xdr:row>26</xdr:row>
      <xdr:rowOff>80085</xdr:rowOff>
    </xdr:from>
    <xdr:to>
      <xdr:col>22</xdr:col>
      <xdr:colOff>188381</xdr:colOff>
      <xdr:row>27</xdr:row>
      <xdr:rowOff>171842</xdr:rowOff>
    </xdr:to>
    <xdr:pic>
      <xdr:nvPicPr>
        <xdr:cNvPr id="81" name="Graphic 80" descr="Bar graph with downward trend with solid fill">
          <a:extLst>
            <a:ext uri="{FF2B5EF4-FFF2-40B4-BE49-F238E27FC236}">
              <a16:creationId xmlns:a16="http://schemas.microsoft.com/office/drawing/2014/main" id="{CB8A1CE2-3746-9C1B-1BA5-4CEDBD87F8E2}"/>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3363257" y="4826710"/>
          <a:ext cx="271249" cy="274320"/>
        </a:xfrm>
        <a:prstGeom prst="rect">
          <a:avLst/>
        </a:prstGeom>
      </xdr:spPr>
    </xdr:pic>
    <xdr:clientData/>
  </xdr:twoCellAnchor>
  <xdr:twoCellAnchor editAs="oneCell">
    <xdr:from>
      <xdr:col>21</xdr:col>
      <xdr:colOff>511388</xdr:colOff>
      <xdr:row>28</xdr:row>
      <xdr:rowOff>156069</xdr:rowOff>
    </xdr:from>
    <xdr:to>
      <xdr:col>22</xdr:col>
      <xdr:colOff>171189</xdr:colOff>
      <xdr:row>30</xdr:row>
      <xdr:rowOff>65264</xdr:rowOff>
    </xdr:to>
    <xdr:pic>
      <xdr:nvPicPr>
        <xdr:cNvPr id="83" name="Graphic 82" descr="Open hand with plant with solid fill">
          <a:extLst>
            <a:ext uri="{FF2B5EF4-FFF2-40B4-BE49-F238E27FC236}">
              <a16:creationId xmlns:a16="http://schemas.microsoft.com/office/drawing/2014/main" id="{3F36650D-31C8-52F8-756E-BD31E4E0FE14}"/>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3346326" y="5267819"/>
          <a:ext cx="270988" cy="274320"/>
        </a:xfrm>
        <a:prstGeom prst="rect">
          <a:avLst/>
        </a:prstGeom>
      </xdr:spPr>
    </xdr:pic>
    <xdr:clientData/>
  </xdr:twoCellAnchor>
  <xdr:twoCellAnchor>
    <xdr:from>
      <xdr:col>21</xdr:col>
      <xdr:colOff>505665</xdr:colOff>
      <xdr:row>31</xdr:row>
      <xdr:rowOff>40155</xdr:rowOff>
    </xdr:from>
    <xdr:to>
      <xdr:col>22</xdr:col>
      <xdr:colOff>168798</xdr:colOff>
      <xdr:row>32</xdr:row>
      <xdr:rowOff>131913</xdr:rowOff>
    </xdr:to>
    <xdr:sp macro="" textlink="">
      <xdr:nvSpPr>
        <xdr:cNvPr id="86" name="TextBox 85">
          <a:extLst>
            <a:ext uri="{FF2B5EF4-FFF2-40B4-BE49-F238E27FC236}">
              <a16:creationId xmlns:a16="http://schemas.microsoft.com/office/drawing/2014/main" id="{17477AFA-9896-504A-A0AF-0BFE21DD50D5}"/>
            </a:ext>
          </a:extLst>
        </xdr:cNvPr>
        <xdr:cNvSpPr txBox="1"/>
      </xdr:nvSpPr>
      <xdr:spPr>
        <a:xfrm>
          <a:off x="13340603" y="5699593"/>
          <a:ext cx="274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a:t>
          </a:r>
          <a:endParaRPr lang="en-US" sz="2400">
            <a:solidFill>
              <a:schemeClr val="bg1"/>
            </a:solidFill>
          </a:endParaRPr>
        </a:p>
      </xdr:txBody>
    </xdr:sp>
    <xdr:clientData/>
  </xdr:twoCellAnchor>
  <xdr:twoCellAnchor editAs="oneCell">
    <xdr:from>
      <xdr:col>21</xdr:col>
      <xdr:colOff>521542</xdr:colOff>
      <xdr:row>33</xdr:row>
      <xdr:rowOff>109723</xdr:rowOff>
    </xdr:from>
    <xdr:to>
      <xdr:col>22</xdr:col>
      <xdr:colOff>186371</xdr:colOff>
      <xdr:row>35</xdr:row>
      <xdr:rowOff>18918</xdr:rowOff>
    </xdr:to>
    <xdr:pic>
      <xdr:nvPicPr>
        <xdr:cNvPr id="95" name="Graphic 94" descr="Bullseye with solid fill">
          <a:extLst>
            <a:ext uri="{FF2B5EF4-FFF2-40B4-BE49-F238E27FC236}">
              <a16:creationId xmlns:a16="http://schemas.microsoft.com/office/drawing/2014/main" id="{DFA8C185-0D27-7FF6-592E-7E3C25C663AB}"/>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356480" y="6134286"/>
          <a:ext cx="276016" cy="274320"/>
        </a:xfrm>
        <a:prstGeom prst="rect">
          <a:avLst/>
        </a:prstGeom>
      </xdr:spPr>
    </xdr:pic>
    <xdr:clientData/>
  </xdr:twoCellAnchor>
  <xdr:twoCellAnchor>
    <xdr:from>
      <xdr:col>4</xdr:col>
      <xdr:colOff>575469</xdr:colOff>
      <xdr:row>17</xdr:row>
      <xdr:rowOff>140460</xdr:rowOff>
    </xdr:from>
    <xdr:to>
      <xdr:col>6</xdr:col>
      <xdr:colOff>382323</xdr:colOff>
      <xdr:row>20</xdr:row>
      <xdr:rowOff>53145</xdr:rowOff>
    </xdr:to>
    <xdr:sp macro="" textlink="">
      <xdr:nvSpPr>
        <xdr:cNvPr id="98" name="TextBox 97">
          <a:extLst>
            <a:ext uri="{FF2B5EF4-FFF2-40B4-BE49-F238E27FC236}">
              <a16:creationId xmlns:a16="http://schemas.microsoft.com/office/drawing/2014/main" id="{E298B556-3701-7ACC-0B49-070A68F9BCEC}"/>
            </a:ext>
          </a:extLst>
        </xdr:cNvPr>
        <xdr:cNvSpPr txBox="1"/>
      </xdr:nvSpPr>
      <xdr:spPr>
        <a:xfrm>
          <a:off x="3030802" y="3199043"/>
          <a:ext cx="1034521" cy="452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372A4"/>
              </a:solidFill>
            </a:rPr>
            <a:t>Income</a:t>
          </a:r>
          <a:endParaRPr lang="en-US" sz="1100">
            <a:solidFill>
              <a:srgbClr val="6372A4"/>
            </a:solidFill>
          </a:endParaRPr>
        </a:p>
      </xdr:txBody>
    </xdr:sp>
    <xdr:clientData/>
  </xdr:twoCellAnchor>
  <xdr:twoCellAnchor>
    <xdr:from>
      <xdr:col>5</xdr:col>
      <xdr:colOff>51594</xdr:colOff>
      <xdr:row>22</xdr:row>
      <xdr:rowOff>63202</xdr:rowOff>
    </xdr:from>
    <xdr:to>
      <xdr:col>6</xdr:col>
      <xdr:colOff>443178</xdr:colOff>
      <xdr:row>24</xdr:row>
      <xdr:rowOff>87016</xdr:rowOff>
    </xdr:to>
    <xdr:sp macro="" textlink="">
      <xdr:nvSpPr>
        <xdr:cNvPr id="99" name="TextBox 98">
          <a:extLst>
            <a:ext uri="{FF2B5EF4-FFF2-40B4-BE49-F238E27FC236}">
              <a16:creationId xmlns:a16="http://schemas.microsoft.com/office/drawing/2014/main" id="{A73DF5B1-7706-6998-B495-B3ED9245B78E}"/>
            </a:ext>
          </a:extLst>
        </xdr:cNvPr>
        <xdr:cNvSpPr txBox="1"/>
      </xdr:nvSpPr>
      <xdr:spPr>
        <a:xfrm>
          <a:off x="3120761" y="4021369"/>
          <a:ext cx="1005417" cy="38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Expensev</a:t>
          </a:r>
        </a:p>
      </xdr:txBody>
    </xdr:sp>
    <xdr:clientData/>
  </xdr:twoCellAnchor>
  <xdr:twoCellAnchor>
    <xdr:from>
      <xdr:col>5</xdr:col>
      <xdr:colOff>185207</xdr:colOff>
      <xdr:row>28</xdr:row>
      <xdr:rowOff>146045</xdr:rowOff>
    </xdr:from>
    <xdr:to>
      <xdr:col>6</xdr:col>
      <xdr:colOff>552979</xdr:colOff>
      <xdr:row>30</xdr:row>
      <xdr:rowOff>53441</xdr:rowOff>
    </xdr:to>
    <xdr:sp macro="" textlink="">
      <xdr:nvSpPr>
        <xdr:cNvPr id="100" name="TextBox 99">
          <a:extLst>
            <a:ext uri="{FF2B5EF4-FFF2-40B4-BE49-F238E27FC236}">
              <a16:creationId xmlns:a16="http://schemas.microsoft.com/office/drawing/2014/main" id="{BB86BE75-742E-1B3F-039A-EB2447999AF5}"/>
            </a:ext>
          </a:extLst>
        </xdr:cNvPr>
        <xdr:cNvSpPr txBox="1"/>
      </xdr:nvSpPr>
      <xdr:spPr>
        <a:xfrm>
          <a:off x="3254374" y="5183712"/>
          <a:ext cx="981605" cy="267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Debts</a:t>
          </a:r>
          <a:endParaRPr lang="en-US" sz="1100">
            <a:solidFill>
              <a:srgbClr val="6372A4"/>
            </a:solidFill>
          </a:endParaRPr>
        </a:p>
        <a:p>
          <a:endParaRPr lang="en-US" sz="1100"/>
        </a:p>
      </xdr:txBody>
    </xdr:sp>
    <xdr:clientData/>
  </xdr:twoCellAnchor>
  <xdr:twoCellAnchor>
    <xdr:from>
      <xdr:col>5</xdr:col>
      <xdr:colOff>43656</xdr:colOff>
      <xdr:row>33</xdr:row>
      <xdr:rowOff>13230</xdr:rowOff>
    </xdr:from>
    <xdr:to>
      <xdr:col>6</xdr:col>
      <xdr:colOff>353219</xdr:colOff>
      <xdr:row>36</xdr:row>
      <xdr:rowOff>52918</xdr:rowOff>
    </xdr:to>
    <xdr:sp macro="" textlink="">
      <xdr:nvSpPr>
        <xdr:cNvPr id="101" name="TextBox 100">
          <a:extLst>
            <a:ext uri="{FF2B5EF4-FFF2-40B4-BE49-F238E27FC236}">
              <a16:creationId xmlns:a16="http://schemas.microsoft.com/office/drawing/2014/main" id="{17235E99-672D-D3DB-F76E-9E26188BB534}"/>
            </a:ext>
          </a:extLst>
        </xdr:cNvPr>
        <xdr:cNvSpPr txBox="1"/>
      </xdr:nvSpPr>
      <xdr:spPr>
        <a:xfrm>
          <a:off x="3112823" y="5950480"/>
          <a:ext cx="923396" cy="579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Fin Goals</a:t>
          </a:r>
        </a:p>
      </xdr:txBody>
    </xdr:sp>
    <xdr:clientData/>
  </xdr:twoCellAnchor>
  <xdr:twoCellAnchor>
    <xdr:from>
      <xdr:col>4</xdr:col>
      <xdr:colOff>598583</xdr:colOff>
      <xdr:row>26</xdr:row>
      <xdr:rowOff>9761</xdr:rowOff>
    </xdr:from>
    <xdr:to>
      <xdr:col>6</xdr:col>
      <xdr:colOff>345983</xdr:colOff>
      <xdr:row>28</xdr:row>
      <xdr:rowOff>24861</xdr:rowOff>
    </xdr:to>
    <xdr:sp macro="" textlink="">
      <xdr:nvSpPr>
        <xdr:cNvPr id="102" name="TextBox 101">
          <a:extLst>
            <a:ext uri="{FF2B5EF4-FFF2-40B4-BE49-F238E27FC236}">
              <a16:creationId xmlns:a16="http://schemas.microsoft.com/office/drawing/2014/main" id="{A5406B4D-75C6-08CA-72D2-DCBA015FDBCC}"/>
            </a:ext>
          </a:extLst>
        </xdr:cNvPr>
        <xdr:cNvSpPr txBox="1"/>
      </xdr:nvSpPr>
      <xdr:spPr>
        <a:xfrm>
          <a:off x="3053916" y="4687594"/>
          <a:ext cx="975067" cy="374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6372A4"/>
              </a:solidFill>
            </a:rPr>
            <a:t>Investmants</a:t>
          </a:r>
        </a:p>
      </xdr:txBody>
    </xdr:sp>
    <xdr:clientData/>
  </xdr:twoCellAnchor>
  <xdr:twoCellAnchor>
    <xdr:from>
      <xdr:col>22</xdr:col>
      <xdr:colOff>259293</xdr:colOff>
      <xdr:row>21</xdr:row>
      <xdr:rowOff>117929</xdr:rowOff>
    </xdr:from>
    <xdr:to>
      <xdr:col>23</xdr:col>
      <xdr:colOff>571499</xdr:colOff>
      <xdr:row>23</xdr:row>
      <xdr:rowOff>74082</xdr:rowOff>
    </xdr:to>
    <xdr:sp macro="" textlink="Processing!A16">
      <xdr:nvSpPr>
        <xdr:cNvPr id="104" name="TextBox 103">
          <a:extLst>
            <a:ext uri="{FF2B5EF4-FFF2-40B4-BE49-F238E27FC236}">
              <a16:creationId xmlns:a16="http://schemas.microsoft.com/office/drawing/2014/main" id="{E9BD22B4-5601-A3BC-1F6C-99AFDC3B59A5}"/>
            </a:ext>
          </a:extLst>
        </xdr:cNvPr>
        <xdr:cNvSpPr txBox="1"/>
      </xdr:nvSpPr>
      <xdr:spPr>
        <a:xfrm>
          <a:off x="13763626" y="3896179"/>
          <a:ext cx="926040" cy="315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a:solidFill>
                <a:srgbClr val="6372A4"/>
              </a:solidFill>
              <a:latin typeface="Aptos Narrow"/>
              <a:ea typeface="+mn-ea"/>
              <a:cs typeface="+mn-cs"/>
            </a:rPr>
            <a:t>Budegting</a:t>
          </a:r>
        </a:p>
      </xdr:txBody>
    </xdr:sp>
    <xdr:clientData/>
  </xdr:twoCellAnchor>
  <xdr:twoCellAnchor>
    <xdr:from>
      <xdr:col>23</xdr:col>
      <xdr:colOff>536730</xdr:colOff>
      <xdr:row>21</xdr:row>
      <xdr:rowOff>122253</xdr:rowOff>
    </xdr:from>
    <xdr:to>
      <xdr:col>25</xdr:col>
      <xdr:colOff>303894</xdr:colOff>
      <xdr:row>23</xdr:row>
      <xdr:rowOff>117172</xdr:rowOff>
    </xdr:to>
    <xdr:sp macro="" textlink="Processing!B16">
      <xdr:nvSpPr>
        <xdr:cNvPr id="107" name="TextBox 106">
          <a:extLst>
            <a:ext uri="{FF2B5EF4-FFF2-40B4-BE49-F238E27FC236}">
              <a16:creationId xmlns:a16="http://schemas.microsoft.com/office/drawing/2014/main" id="{95A6E7A5-6845-BC3F-F578-83D9CC244439}"/>
            </a:ext>
          </a:extLst>
        </xdr:cNvPr>
        <xdr:cNvSpPr txBox="1"/>
      </xdr:nvSpPr>
      <xdr:spPr>
        <a:xfrm>
          <a:off x="14515801" y="3932253"/>
          <a:ext cx="982736" cy="35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C9D3E8D-52D8-4F2C-8048-765B1CA0816D}" type="TxLink">
            <a:rPr lang="en-US" sz="1400" b="0" i="0" u="none" strike="noStrike">
              <a:solidFill>
                <a:schemeClr val="tx2">
                  <a:lumMod val="25000"/>
                  <a:lumOff val="75000"/>
                </a:schemeClr>
              </a:solidFill>
              <a:latin typeface="Aptos Narrow"/>
            </a:rPr>
            <a:pPr algn="l"/>
            <a:t>$281,096</a:t>
          </a:fld>
          <a:endParaRPr lang="en-US" sz="1600" b="1" i="1">
            <a:solidFill>
              <a:schemeClr val="tx2">
                <a:lumMod val="25000"/>
                <a:lumOff val="75000"/>
              </a:schemeClr>
            </a:solidFill>
          </a:endParaRPr>
        </a:p>
      </xdr:txBody>
    </xdr:sp>
    <xdr:clientData/>
  </xdr:twoCellAnchor>
  <xdr:twoCellAnchor>
    <xdr:from>
      <xdr:col>23</xdr:col>
      <xdr:colOff>501617</xdr:colOff>
      <xdr:row>24</xdr:row>
      <xdr:rowOff>4953</xdr:rowOff>
    </xdr:from>
    <xdr:to>
      <xdr:col>25</xdr:col>
      <xdr:colOff>33304</xdr:colOff>
      <xdr:row>25</xdr:row>
      <xdr:rowOff>181301</xdr:rowOff>
    </xdr:to>
    <xdr:sp macro="" textlink="Processing!D14">
      <xdr:nvSpPr>
        <xdr:cNvPr id="108" name="TextBox 107">
          <a:extLst>
            <a:ext uri="{FF2B5EF4-FFF2-40B4-BE49-F238E27FC236}">
              <a16:creationId xmlns:a16="http://schemas.microsoft.com/office/drawing/2014/main" id="{B93766B2-BEA0-741B-200C-3A6388C5640B}"/>
            </a:ext>
          </a:extLst>
        </xdr:cNvPr>
        <xdr:cNvSpPr txBox="1"/>
      </xdr:nvSpPr>
      <xdr:spPr>
        <a:xfrm>
          <a:off x="14480688" y="4359239"/>
          <a:ext cx="747259" cy="35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BCFE1B3-8319-4848-AD16-7195E0564B31}" type="TxLink">
            <a:rPr lang="en-US" sz="1400" b="0" i="0" u="none" strike="noStrike">
              <a:solidFill>
                <a:schemeClr val="tx2">
                  <a:lumMod val="25000"/>
                  <a:lumOff val="75000"/>
                </a:schemeClr>
              </a:solidFill>
              <a:latin typeface="Aptos Narrow"/>
            </a:rPr>
            <a:pPr algn="r"/>
            <a:t>$17,800</a:t>
          </a:fld>
          <a:endParaRPr lang="en-US" sz="1600" b="1" i="1">
            <a:solidFill>
              <a:schemeClr val="tx2">
                <a:lumMod val="25000"/>
                <a:lumOff val="75000"/>
              </a:schemeClr>
            </a:solidFill>
          </a:endParaRPr>
        </a:p>
      </xdr:txBody>
    </xdr:sp>
    <xdr:clientData/>
  </xdr:twoCellAnchor>
  <xdr:twoCellAnchor>
    <xdr:from>
      <xdr:col>23</xdr:col>
      <xdr:colOff>565457</xdr:colOff>
      <xdr:row>28</xdr:row>
      <xdr:rowOff>145142</xdr:rowOff>
    </xdr:from>
    <xdr:to>
      <xdr:col>25</xdr:col>
      <xdr:colOff>81643</xdr:colOff>
      <xdr:row>30</xdr:row>
      <xdr:rowOff>136448</xdr:rowOff>
    </xdr:to>
    <xdr:sp macro="" textlink="Processing!H24">
      <xdr:nvSpPr>
        <xdr:cNvPr id="110" name="TextBox 109">
          <a:extLst>
            <a:ext uri="{FF2B5EF4-FFF2-40B4-BE49-F238E27FC236}">
              <a16:creationId xmlns:a16="http://schemas.microsoft.com/office/drawing/2014/main" id="{725AD4F5-DA22-0E58-BB49-2B5A0F6B2F6C}"/>
            </a:ext>
          </a:extLst>
        </xdr:cNvPr>
        <xdr:cNvSpPr txBox="1"/>
      </xdr:nvSpPr>
      <xdr:spPr>
        <a:xfrm>
          <a:off x="14544528" y="5225142"/>
          <a:ext cx="731758" cy="354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14A13A3-2F80-4D92-BA43-F3C4056C2E86}" type="TxLink">
            <a:rPr lang="en-US" sz="1400" b="0" i="0" u="none" strike="noStrike">
              <a:solidFill>
                <a:schemeClr val="tx2">
                  <a:lumMod val="25000"/>
                  <a:lumOff val="75000"/>
                </a:schemeClr>
              </a:solidFill>
              <a:latin typeface="Aptos Narrow"/>
              <a:ea typeface="+mn-ea"/>
              <a:cs typeface="+mn-cs"/>
            </a:rPr>
            <a:pPr marL="0" indent="0" algn="l"/>
            <a:t>$121</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14</xdr:col>
      <xdr:colOff>384205</xdr:colOff>
      <xdr:row>29</xdr:row>
      <xdr:rowOff>68927</xdr:rowOff>
    </xdr:from>
    <xdr:to>
      <xdr:col>16</xdr:col>
      <xdr:colOff>151369</xdr:colOff>
      <xdr:row>31</xdr:row>
      <xdr:rowOff>63846</xdr:rowOff>
    </xdr:to>
    <xdr:sp macro="" textlink="Processing!O20">
      <xdr:nvSpPr>
        <xdr:cNvPr id="118" name="TextBox 117">
          <a:extLst>
            <a:ext uri="{FF2B5EF4-FFF2-40B4-BE49-F238E27FC236}">
              <a16:creationId xmlns:a16="http://schemas.microsoft.com/office/drawing/2014/main" id="{3B99FB4E-0C07-E15C-1BD8-896BBF0CD0C1}"/>
            </a:ext>
          </a:extLst>
        </xdr:cNvPr>
        <xdr:cNvSpPr txBox="1"/>
      </xdr:nvSpPr>
      <xdr:spPr>
        <a:xfrm>
          <a:off x="8893205" y="5330356"/>
          <a:ext cx="982735" cy="35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EC8FCC-96DD-489D-9D1F-BDA06E3B6D0B}" type="TxLink">
            <a:rPr lang="en-US" sz="1200" b="0" i="0" u="none" strike="noStrike">
              <a:solidFill>
                <a:schemeClr val="tx2">
                  <a:lumMod val="25000"/>
                  <a:lumOff val="75000"/>
                </a:schemeClr>
              </a:solidFill>
              <a:latin typeface="Aptos Narrow"/>
              <a:ea typeface="+mn-ea"/>
              <a:cs typeface="+mn-cs"/>
            </a:rPr>
            <a:pPr marL="0" indent="0" algn="l"/>
            <a:t> $95.42 </a:t>
          </a:fld>
          <a:endParaRPr lang="en-US" sz="1200" b="0" i="0" u="none" strike="noStrike">
            <a:solidFill>
              <a:schemeClr val="tx2">
                <a:lumMod val="25000"/>
                <a:lumOff val="75000"/>
              </a:schemeClr>
            </a:solidFill>
            <a:latin typeface="Aptos Narrow"/>
            <a:ea typeface="+mn-ea"/>
            <a:cs typeface="+mn-cs"/>
          </a:endParaRPr>
        </a:p>
      </xdr:txBody>
    </xdr:sp>
    <xdr:clientData/>
  </xdr:twoCellAnchor>
  <xdr:twoCellAnchor>
    <xdr:from>
      <xdr:col>16</xdr:col>
      <xdr:colOff>281595</xdr:colOff>
      <xdr:row>26</xdr:row>
      <xdr:rowOff>163074</xdr:rowOff>
    </xdr:from>
    <xdr:to>
      <xdr:col>18</xdr:col>
      <xdr:colOff>48759</xdr:colOff>
      <xdr:row>28</xdr:row>
      <xdr:rowOff>157993</xdr:rowOff>
    </xdr:to>
    <xdr:sp macro="" textlink="Processing!F35">
      <xdr:nvSpPr>
        <xdr:cNvPr id="119" name="TextBox 118">
          <a:extLst>
            <a:ext uri="{FF2B5EF4-FFF2-40B4-BE49-F238E27FC236}">
              <a16:creationId xmlns:a16="http://schemas.microsoft.com/office/drawing/2014/main" id="{4C157690-A3CB-3B81-B4AA-D4C44743E81A}"/>
            </a:ext>
          </a:extLst>
        </xdr:cNvPr>
        <xdr:cNvSpPr txBox="1"/>
      </xdr:nvSpPr>
      <xdr:spPr>
        <a:xfrm>
          <a:off x="10006166" y="4880217"/>
          <a:ext cx="982736" cy="35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A5ADB9-2CC4-4604-9A35-AA2E683E5678}" type="TxLink">
            <a:rPr lang="en-US" sz="1400" b="0" i="0" u="none" strike="noStrike">
              <a:solidFill>
                <a:schemeClr val="tx2">
                  <a:lumMod val="25000"/>
                  <a:lumOff val="75000"/>
                </a:schemeClr>
              </a:solidFill>
              <a:latin typeface="Aptos Narrow"/>
              <a:ea typeface="+mn-ea"/>
              <a:cs typeface="+mn-cs"/>
            </a:rPr>
            <a:pPr marL="0" indent="0" algn="ctr"/>
            <a:t>$99</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12</xdr:col>
      <xdr:colOff>332367</xdr:colOff>
      <xdr:row>7</xdr:row>
      <xdr:rowOff>122885</xdr:rowOff>
    </xdr:from>
    <xdr:to>
      <xdr:col>13</xdr:col>
      <xdr:colOff>483180</xdr:colOff>
      <xdr:row>9</xdr:row>
      <xdr:rowOff>117804</xdr:rowOff>
    </xdr:to>
    <xdr:sp macro="" textlink="Processing!E14">
      <xdr:nvSpPr>
        <xdr:cNvPr id="120" name="TextBox 119">
          <a:extLst>
            <a:ext uri="{FF2B5EF4-FFF2-40B4-BE49-F238E27FC236}">
              <a16:creationId xmlns:a16="http://schemas.microsoft.com/office/drawing/2014/main" id="{21AACD49-831B-8369-1465-7C81FD0334C4}"/>
            </a:ext>
          </a:extLst>
        </xdr:cNvPr>
        <xdr:cNvSpPr txBox="1"/>
      </xdr:nvSpPr>
      <xdr:spPr>
        <a:xfrm>
          <a:off x="7625796" y="1392885"/>
          <a:ext cx="758598" cy="35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FE3DA70-869E-43C1-9FD3-A5DC7BFFC055}" type="TxLink">
            <a:rPr lang="en-US" sz="1400" b="0" i="0" u="none" strike="noStrike">
              <a:solidFill>
                <a:schemeClr val="tx2">
                  <a:lumMod val="25000"/>
                  <a:lumOff val="75000"/>
                </a:schemeClr>
              </a:solidFill>
              <a:latin typeface="Aptos Narrow"/>
              <a:ea typeface="+mn-ea"/>
              <a:cs typeface="+mn-cs"/>
            </a:rPr>
            <a:pPr marL="0" indent="0" algn="r"/>
            <a:t>$18,904</a:t>
          </a:fld>
          <a:endParaRPr lang="en-US" sz="1600" b="1" i="1" u="none" strike="noStrike">
            <a:solidFill>
              <a:schemeClr val="tx2">
                <a:lumMod val="25000"/>
                <a:lumOff val="75000"/>
              </a:schemeClr>
            </a:solidFill>
            <a:latin typeface="Aptos Narrow"/>
            <a:ea typeface="+mn-ea"/>
            <a:cs typeface="+mn-cs"/>
          </a:endParaRPr>
        </a:p>
      </xdr:txBody>
    </xdr:sp>
    <xdr:clientData/>
  </xdr:twoCellAnchor>
  <xdr:twoCellAnchor>
    <xdr:from>
      <xdr:col>16</xdr:col>
      <xdr:colOff>143443</xdr:colOff>
      <xdr:row>22</xdr:row>
      <xdr:rowOff>37420</xdr:rowOff>
    </xdr:from>
    <xdr:to>
      <xdr:col>17</xdr:col>
      <xdr:colOff>453004</xdr:colOff>
      <xdr:row>24</xdr:row>
      <xdr:rowOff>72571</xdr:rowOff>
    </xdr:to>
    <xdr:sp macro="" textlink="">
      <xdr:nvSpPr>
        <xdr:cNvPr id="121" name="TextBox 120">
          <a:extLst>
            <a:ext uri="{FF2B5EF4-FFF2-40B4-BE49-F238E27FC236}">
              <a16:creationId xmlns:a16="http://schemas.microsoft.com/office/drawing/2014/main" id="{80B5A34B-AAFA-7E67-3FE7-B7D0BD51620E}"/>
            </a:ext>
          </a:extLst>
        </xdr:cNvPr>
        <xdr:cNvSpPr txBox="1"/>
      </xdr:nvSpPr>
      <xdr:spPr>
        <a:xfrm>
          <a:off x="9868014" y="4028849"/>
          <a:ext cx="917347" cy="398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bg1"/>
              </a:solidFill>
            </a:rPr>
            <a:t>Fin Goals</a:t>
          </a:r>
        </a:p>
      </xdr:txBody>
    </xdr:sp>
    <xdr:clientData/>
  </xdr:twoCellAnchor>
  <xdr:twoCellAnchor>
    <xdr:from>
      <xdr:col>5</xdr:col>
      <xdr:colOff>47625</xdr:colOff>
      <xdr:row>14</xdr:row>
      <xdr:rowOff>43846</xdr:rowOff>
    </xdr:from>
    <xdr:to>
      <xdr:col>6</xdr:col>
      <xdr:colOff>359832</xdr:colOff>
      <xdr:row>15</xdr:row>
      <xdr:rowOff>179915</xdr:rowOff>
    </xdr:to>
    <xdr:sp macro="" textlink="Processing!A16">
      <xdr:nvSpPr>
        <xdr:cNvPr id="75" name="TextBox 74">
          <a:extLst>
            <a:ext uri="{FF2B5EF4-FFF2-40B4-BE49-F238E27FC236}">
              <a16:creationId xmlns:a16="http://schemas.microsoft.com/office/drawing/2014/main" id="{EDFDEB56-CB00-AAC8-E476-5B8C648A615F}"/>
            </a:ext>
          </a:extLst>
        </xdr:cNvPr>
        <xdr:cNvSpPr txBox="1"/>
      </xdr:nvSpPr>
      <xdr:spPr>
        <a:xfrm>
          <a:off x="3116792" y="2562679"/>
          <a:ext cx="926040" cy="315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a:solidFill>
                <a:srgbClr val="6372A4"/>
              </a:solidFill>
              <a:latin typeface="Aptos Narrow"/>
              <a:ea typeface="+mn-ea"/>
              <a:cs typeface="+mn-cs"/>
            </a:rPr>
            <a:t>Budegting</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0.35869</cdr:x>
      <cdr:y>0.33722</cdr:y>
    </cdr:from>
    <cdr:to>
      <cdr:x>0.60194</cdr:x>
      <cdr:y>0.67055</cdr:y>
    </cdr:to>
    <cdr:sp macro="" textlink="Processing!$F$38">
      <cdr:nvSpPr>
        <cdr:cNvPr id="2" name="Oval 1">
          <a:extLst xmlns:a="http://schemas.openxmlformats.org/drawingml/2006/main">
            <a:ext uri="{FF2B5EF4-FFF2-40B4-BE49-F238E27FC236}">
              <a16:creationId xmlns:a16="http://schemas.microsoft.com/office/drawing/2014/main" id="{A0BCBCF4-2D0E-DFCB-1EAC-248D6A5E83F1}"/>
            </a:ext>
          </a:extLst>
        </cdr:cNvPr>
        <cdr:cNvSpPr/>
      </cdr:nvSpPr>
      <cdr:spPr>
        <a:xfrm xmlns:a="http://schemas.openxmlformats.org/drawingml/2006/main">
          <a:off x="1213557" y="832553"/>
          <a:ext cx="822960" cy="822960"/>
        </a:xfrm>
        <a:prstGeom xmlns:a="http://schemas.openxmlformats.org/drawingml/2006/main" prst="ellipse">
          <a:avLst/>
        </a:prstGeom>
        <a:solidFill xmlns:a="http://schemas.openxmlformats.org/drawingml/2006/main">
          <a:srgbClr val="8D76FC">
            <a:alpha val="42000"/>
          </a:srgbClr>
        </a:solidFill>
        <a:ln xmlns:a="http://schemas.openxmlformats.org/drawingml/2006/main" w="9525">
          <a:solidFill>
            <a:srgbClr val="8199F3"/>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fld id="{6D938D52-711A-44B2-B188-9F31425724DA}" type="TxLink">
            <a:rPr lang="en-US" sz="1600" b="0" i="0" u="none" strike="noStrike" kern="1200">
              <a:solidFill>
                <a:schemeClr val="bg1"/>
              </a:solidFill>
              <a:latin typeface="Aptos Narrow"/>
            </a:rPr>
            <a:pPr algn="ctr"/>
            <a:t>39%</a:t>
          </a:fld>
          <a:endParaRPr lang="en-US" sz="1600" kern="1200">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511509</xdr:colOff>
      <xdr:row>0</xdr:row>
      <xdr:rowOff>0</xdr:rowOff>
    </xdr:from>
    <xdr:to>
      <xdr:col>26</xdr:col>
      <xdr:colOff>299961</xdr:colOff>
      <xdr:row>39</xdr:row>
      <xdr:rowOff>133350</xdr:rowOff>
    </xdr:to>
    <xdr:sp macro="" textlink="">
      <xdr:nvSpPr>
        <xdr:cNvPr id="2" name="MyDachbord">
          <a:extLst>
            <a:ext uri="{FF2B5EF4-FFF2-40B4-BE49-F238E27FC236}">
              <a16:creationId xmlns:a16="http://schemas.microsoft.com/office/drawing/2014/main" id="{576A67CE-8EC0-43C0-988D-F53295AF0DDB}"/>
            </a:ext>
          </a:extLst>
        </xdr:cNvPr>
        <xdr:cNvSpPr/>
      </xdr:nvSpPr>
      <xdr:spPr>
        <a:xfrm>
          <a:off x="2340309" y="0"/>
          <a:ext cx="13809252" cy="7315200"/>
        </a:xfrm>
        <a:prstGeom prst="roundRect">
          <a:avLst>
            <a:gd name="adj" fmla="val 6771"/>
          </a:avLst>
        </a:prstGeom>
        <a:gradFill flip="none" rotWithShape="1">
          <a:gsLst>
            <a:gs pos="0">
              <a:srgbClr val="1F2357"/>
            </a:gs>
            <a:gs pos="75000">
              <a:srgbClr val="10123B"/>
            </a:gs>
          </a:gsLst>
          <a:lin ang="8100000" scaled="1"/>
          <a:tileRect/>
        </a:gradFill>
        <a:ln w="9525">
          <a:gradFill flip="none" rotWithShape="1">
            <a:gsLst>
              <a:gs pos="0">
                <a:srgbClr val="10123B"/>
              </a:gs>
              <a:gs pos="100000">
                <a:srgbClr val="333787"/>
              </a:gs>
            </a:gsLst>
            <a:lin ang="8100000" scaled="1"/>
            <a:tileRect/>
          </a:gradFill>
        </a:ln>
        <a:effectLst>
          <a:outerShdw blurRad="444500" dist="2032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250222</xdr:colOff>
      <xdr:row>0</xdr:row>
      <xdr:rowOff>0</xdr:rowOff>
    </xdr:from>
    <xdr:to>
      <xdr:col>26</xdr:col>
      <xdr:colOff>9027</xdr:colOff>
      <xdr:row>36</xdr:row>
      <xdr:rowOff>42620</xdr:rowOff>
    </xdr:to>
    <xdr:sp macro="" textlink="">
      <xdr:nvSpPr>
        <xdr:cNvPr id="3" name="MyDashboard">
          <a:extLst>
            <a:ext uri="{FF2B5EF4-FFF2-40B4-BE49-F238E27FC236}">
              <a16:creationId xmlns:a16="http://schemas.microsoft.com/office/drawing/2014/main" id="{6BDBC1D9-E49D-45BF-B8F7-549BF8D36952}"/>
            </a:ext>
          </a:extLst>
        </xdr:cNvPr>
        <xdr:cNvSpPr/>
      </xdr:nvSpPr>
      <xdr:spPr>
        <a:xfrm>
          <a:off x="2694972" y="0"/>
          <a:ext cx="13204930" cy="6614870"/>
        </a:xfrm>
        <a:prstGeom prst="roundRect">
          <a:avLst>
            <a:gd name="adj" fmla="val 8581"/>
          </a:avLst>
        </a:prstGeom>
        <a:gradFill flip="none" rotWithShape="1">
          <a:gsLst>
            <a:gs pos="0">
              <a:srgbClr val="20245A"/>
            </a:gs>
            <a:gs pos="75000">
              <a:srgbClr val="10123B"/>
            </a:gs>
          </a:gsLst>
          <a:lin ang="8100000" scaled="1"/>
          <a:tileRect/>
        </a:gradFill>
        <a:ln w="9525">
          <a:gradFill flip="none" rotWithShape="1">
            <a:gsLst>
              <a:gs pos="0">
                <a:srgbClr val="10123B"/>
              </a:gs>
              <a:gs pos="100000">
                <a:srgbClr val="333787"/>
              </a:gs>
            </a:gsLst>
            <a:lin ang="8100000" scaled="1"/>
            <a:tileRect/>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501950</xdr:colOff>
      <xdr:row>6</xdr:row>
      <xdr:rowOff>152216</xdr:rowOff>
    </xdr:from>
    <xdr:to>
      <xdr:col>6</xdr:col>
      <xdr:colOff>572966</xdr:colOff>
      <xdr:row>35</xdr:row>
      <xdr:rowOff>76333</xdr:rowOff>
    </xdr:to>
    <xdr:sp macro="" textlink="">
      <xdr:nvSpPr>
        <xdr:cNvPr id="4" name="Rectangle: Rounded Corners 3">
          <a:extLst>
            <a:ext uri="{FF2B5EF4-FFF2-40B4-BE49-F238E27FC236}">
              <a16:creationId xmlns:a16="http://schemas.microsoft.com/office/drawing/2014/main" id="{9EE907B2-B837-45A8-8CB4-3611287104C4}"/>
            </a:ext>
          </a:extLst>
        </xdr:cNvPr>
        <xdr:cNvSpPr/>
      </xdr:nvSpPr>
      <xdr:spPr>
        <a:xfrm>
          <a:off x="2940350" y="1257116"/>
          <a:ext cx="1290216" cy="5264467"/>
        </a:xfrm>
        <a:prstGeom prst="roundRect">
          <a:avLst>
            <a:gd name="adj" fmla="val 12947"/>
          </a:avLst>
        </a:prstGeom>
        <a:gradFill>
          <a:gsLst>
            <a:gs pos="0">
              <a:srgbClr val="323687"/>
            </a:gs>
            <a:gs pos="41000">
              <a:srgbClr val="181A3C"/>
            </a:gs>
          </a:gsLst>
          <a:lin ang="7800000" scaled="0"/>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xdr:txBody>
    </xdr:sp>
    <xdr:clientData/>
  </xdr:twoCellAnchor>
  <xdr:twoCellAnchor>
    <xdr:from>
      <xdr:col>6</xdr:col>
      <xdr:colOff>606727</xdr:colOff>
      <xdr:row>3</xdr:row>
      <xdr:rowOff>32201</xdr:rowOff>
    </xdr:from>
    <xdr:to>
      <xdr:col>25</xdr:col>
      <xdr:colOff>204984</xdr:colOff>
      <xdr:row>5</xdr:row>
      <xdr:rowOff>108401</xdr:rowOff>
    </xdr:to>
    <xdr:sp macro="" textlink="">
      <xdr:nvSpPr>
        <xdr:cNvPr id="5" name="Rectangle: Rounded Corners 4">
          <a:extLst>
            <a:ext uri="{FF2B5EF4-FFF2-40B4-BE49-F238E27FC236}">
              <a16:creationId xmlns:a16="http://schemas.microsoft.com/office/drawing/2014/main" id="{37C76C00-C635-402A-BA72-170268597DC9}"/>
            </a:ext>
          </a:extLst>
        </xdr:cNvPr>
        <xdr:cNvSpPr/>
      </xdr:nvSpPr>
      <xdr:spPr>
        <a:xfrm>
          <a:off x="4264327" y="584651"/>
          <a:ext cx="11180657" cy="444500"/>
        </a:xfrm>
        <a:prstGeom prst="roundRect">
          <a:avLst>
            <a:gd name="adj" fmla="val 38854"/>
          </a:avLst>
        </a:prstGeom>
        <a:gradFill>
          <a:gsLst>
            <a:gs pos="87935">
              <a:srgbClr val="1B1D45"/>
            </a:gs>
            <a:gs pos="20100">
              <a:srgbClr val="2D3078"/>
            </a:gs>
            <a:gs pos="0">
              <a:srgbClr val="323687"/>
            </a:gs>
            <a:gs pos="100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223764</xdr:colOff>
      <xdr:row>7</xdr:row>
      <xdr:rowOff>54880</xdr:rowOff>
    </xdr:from>
    <xdr:to>
      <xdr:col>25</xdr:col>
      <xdr:colOff>371084</xdr:colOff>
      <xdr:row>19</xdr:row>
      <xdr:rowOff>54879</xdr:rowOff>
    </xdr:to>
    <xdr:sp macro="" textlink="">
      <xdr:nvSpPr>
        <xdr:cNvPr id="8" name="Rectangle: Rounded Corners 7">
          <a:extLst>
            <a:ext uri="{FF2B5EF4-FFF2-40B4-BE49-F238E27FC236}">
              <a16:creationId xmlns:a16="http://schemas.microsoft.com/office/drawing/2014/main" id="{65CFD4C2-DDE2-474F-AEA1-D4A45340D27B}"/>
            </a:ext>
          </a:extLst>
        </xdr:cNvPr>
        <xdr:cNvSpPr/>
      </xdr:nvSpPr>
      <xdr:spPr>
        <a:xfrm>
          <a:off x="13025364" y="1343930"/>
          <a:ext cx="2585720" cy="2209799"/>
        </a:xfrm>
        <a:prstGeom prst="roundRect">
          <a:avLst>
            <a:gd name="adj" fmla="val 11111"/>
          </a:avLst>
        </a:prstGeom>
        <a:gradFill>
          <a:gsLst>
            <a:gs pos="0">
              <a:srgbClr val="323687"/>
            </a:gs>
            <a:gs pos="80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119062</xdr:colOff>
      <xdr:row>7</xdr:row>
      <xdr:rowOff>23811</xdr:rowOff>
    </xdr:from>
    <xdr:to>
      <xdr:col>20</xdr:col>
      <xdr:colOff>603250</xdr:colOff>
      <xdr:row>36</xdr:row>
      <xdr:rowOff>15874</xdr:rowOff>
    </xdr:to>
    <xdr:sp macro="" textlink="">
      <xdr:nvSpPr>
        <xdr:cNvPr id="9" name="Rectangle: Rounded Corners 8">
          <a:extLst>
            <a:ext uri="{FF2B5EF4-FFF2-40B4-BE49-F238E27FC236}">
              <a16:creationId xmlns:a16="http://schemas.microsoft.com/office/drawing/2014/main" id="{CB55F0BB-007C-47AF-A85F-B5CA8F231EAE}"/>
            </a:ext>
          </a:extLst>
        </xdr:cNvPr>
        <xdr:cNvSpPr/>
      </xdr:nvSpPr>
      <xdr:spPr>
        <a:xfrm>
          <a:off x="4415895" y="1283228"/>
          <a:ext cx="8464022" cy="5209646"/>
        </a:xfrm>
        <a:prstGeom prst="roundRect">
          <a:avLst>
            <a:gd name="adj" fmla="val 10771"/>
          </a:avLst>
        </a:prstGeom>
        <a:gradFill>
          <a:gsLst>
            <a:gs pos="11000">
              <a:srgbClr val="323687"/>
            </a:gs>
            <a:gs pos="75000">
              <a:srgbClr val="181A3C"/>
            </a:gs>
          </a:gsLst>
          <a:lin ang="6000000" scaled="0"/>
        </a:gradFill>
        <a:ln w="9525">
          <a:gradFill>
            <a:gsLst>
              <a:gs pos="2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486833</xdr:colOff>
      <xdr:row>17</xdr:row>
      <xdr:rowOff>42333</xdr:rowOff>
    </xdr:from>
    <xdr:to>
      <xdr:col>20</xdr:col>
      <xdr:colOff>433916</xdr:colOff>
      <xdr:row>35</xdr:row>
      <xdr:rowOff>10583</xdr:rowOff>
    </xdr:to>
    <xdr:sp macro="" textlink="">
      <xdr:nvSpPr>
        <xdr:cNvPr id="11" name="Rectangle: Rounded Corners 10">
          <a:extLst>
            <a:ext uri="{FF2B5EF4-FFF2-40B4-BE49-F238E27FC236}">
              <a16:creationId xmlns:a16="http://schemas.microsoft.com/office/drawing/2014/main" id="{D12F11D7-9FD4-4595-B491-ED44375AE86D}"/>
            </a:ext>
          </a:extLst>
        </xdr:cNvPr>
        <xdr:cNvSpPr/>
      </xdr:nvSpPr>
      <xdr:spPr>
        <a:xfrm>
          <a:off x="7852833" y="3100916"/>
          <a:ext cx="4857750" cy="3206750"/>
        </a:xfrm>
        <a:prstGeom prst="roundRect">
          <a:avLst>
            <a:gd name="adj" fmla="val 13567"/>
          </a:avLst>
        </a:prstGeom>
        <a:gradFill>
          <a:gsLst>
            <a:gs pos="0">
              <a:srgbClr val="323687"/>
            </a:gs>
            <a:gs pos="74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325437</xdr:colOff>
      <xdr:row>3</xdr:row>
      <xdr:rowOff>31751</xdr:rowOff>
    </xdr:from>
    <xdr:to>
      <xdr:col>7</xdr:col>
      <xdr:colOff>55562</xdr:colOff>
      <xdr:row>5</xdr:row>
      <xdr:rowOff>150811</xdr:rowOff>
    </xdr:to>
    <xdr:sp macro="" textlink="">
      <xdr:nvSpPr>
        <xdr:cNvPr id="14" name="TextBox 13">
          <a:extLst>
            <a:ext uri="{FF2B5EF4-FFF2-40B4-BE49-F238E27FC236}">
              <a16:creationId xmlns:a16="http://schemas.microsoft.com/office/drawing/2014/main" id="{37322AC7-2856-4FC3-9B83-C11B0D4472AF}"/>
            </a:ext>
          </a:extLst>
        </xdr:cNvPr>
        <xdr:cNvSpPr txBox="1"/>
      </xdr:nvSpPr>
      <xdr:spPr>
        <a:xfrm>
          <a:off x="3373437" y="584201"/>
          <a:ext cx="949325" cy="48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tx2">
                  <a:lumMod val="50000"/>
                  <a:lumOff val="50000"/>
                </a:schemeClr>
              </a:solidFill>
            </a:rPr>
            <a:t>PERSONAL</a:t>
          </a:r>
          <a:r>
            <a:rPr lang="en-US" sz="1100" b="1" i="1">
              <a:solidFill>
                <a:schemeClr val="tx2">
                  <a:lumMod val="50000"/>
                  <a:lumOff val="50000"/>
                </a:schemeClr>
              </a:solidFill>
            </a:rPr>
            <a:t> </a:t>
          </a:r>
        </a:p>
        <a:p>
          <a:r>
            <a:rPr lang="en-US" sz="1100" b="1" i="1">
              <a:solidFill>
                <a:schemeClr val="tx2">
                  <a:lumMod val="50000"/>
                  <a:lumOff val="50000"/>
                </a:schemeClr>
              </a:solidFill>
            </a:rPr>
            <a:t>FINACE</a:t>
          </a:r>
        </a:p>
      </xdr:txBody>
    </xdr:sp>
    <xdr:clientData/>
  </xdr:twoCellAnchor>
  <xdr:twoCellAnchor editAs="oneCell">
    <xdr:from>
      <xdr:col>4</xdr:col>
      <xdr:colOff>484187</xdr:colOff>
      <xdr:row>3</xdr:row>
      <xdr:rowOff>39687</xdr:rowOff>
    </xdr:from>
    <xdr:to>
      <xdr:col>5</xdr:col>
      <xdr:colOff>330199</xdr:colOff>
      <xdr:row>5</xdr:row>
      <xdr:rowOff>131762</xdr:rowOff>
    </xdr:to>
    <xdr:pic>
      <xdr:nvPicPr>
        <xdr:cNvPr id="15" name="Graphic 14" descr="Pie chart outline">
          <a:extLst>
            <a:ext uri="{FF2B5EF4-FFF2-40B4-BE49-F238E27FC236}">
              <a16:creationId xmlns:a16="http://schemas.microsoft.com/office/drawing/2014/main" id="{84616296-F435-4744-B406-82EA32B4A5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22587" y="592137"/>
          <a:ext cx="455612" cy="460375"/>
        </a:xfrm>
        <a:prstGeom prst="rect">
          <a:avLst/>
        </a:prstGeom>
      </xdr:spPr>
    </xdr:pic>
    <xdr:clientData/>
  </xdr:twoCellAnchor>
  <xdr:twoCellAnchor>
    <xdr:from>
      <xdr:col>5</xdr:col>
      <xdr:colOff>380998</xdr:colOff>
      <xdr:row>3</xdr:row>
      <xdr:rowOff>7939</xdr:rowOff>
    </xdr:from>
    <xdr:to>
      <xdr:col>5</xdr:col>
      <xdr:colOff>380999</xdr:colOff>
      <xdr:row>5</xdr:row>
      <xdr:rowOff>127002</xdr:rowOff>
    </xdr:to>
    <xdr:cxnSp macro="">
      <xdr:nvCxnSpPr>
        <xdr:cNvPr id="16" name="Straight Connector 15">
          <a:extLst>
            <a:ext uri="{FF2B5EF4-FFF2-40B4-BE49-F238E27FC236}">
              <a16:creationId xmlns:a16="http://schemas.microsoft.com/office/drawing/2014/main" id="{BF6027C5-3F10-4DA8-B59A-27D1BC557C03}"/>
            </a:ext>
          </a:extLst>
        </xdr:cNvPr>
        <xdr:cNvCxnSpPr/>
      </xdr:nvCxnSpPr>
      <xdr:spPr>
        <a:xfrm>
          <a:off x="3428998" y="560389"/>
          <a:ext cx="1" cy="487363"/>
        </a:xfrm>
        <a:prstGeom prst="line">
          <a:avLst/>
        </a:prstGeom>
        <a:ln>
          <a:solidFill>
            <a:schemeClr val="bg2"/>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1676</xdr:colOff>
      <xdr:row>10</xdr:row>
      <xdr:rowOff>79375</xdr:rowOff>
    </xdr:from>
    <xdr:to>
      <xdr:col>6</xdr:col>
      <xdr:colOff>414427</xdr:colOff>
      <xdr:row>12</xdr:row>
      <xdr:rowOff>47625</xdr:rowOff>
    </xdr:to>
    <xdr:sp macro="" textlink="">
      <xdr:nvSpPr>
        <xdr:cNvPr id="17" name="TextBox 16">
          <a:extLst>
            <a:ext uri="{FF2B5EF4-FFF2-40B4-BE49-F238E27FC236}">
              <a16:creationId xmlns:a16="http://schemas.microsoft.com/office/drawing/2014/main" id="{E7D87022-2392-4980-ACA9-FBEC4E8092EC}"/>
            </a:ext>
          </a:extLst>
        </xdr:cNvPr>
        <xdr:cNvSpPr txBox="1"/>
      </xdr:nvSpPr>
      <xdr:spPr>
        <a:xfrm>
          <a:off x="3049676" y="1920875"/>
          <a:ext cx="1022351"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bg1"/>
              </a:solidFill>
            </a:rPr>
            <a:t>Dashboard</a:t>
          </a:r>
          <a:endParaRPr lang="en-US" sz="1100" b="1" i="1">
            <a:solidFill>
              <a:schemeClr val="bg1"/>
            </a:solidFill>
          </a:endParaRPr>
        </a:p>
        <a:p>
          <a:pPr algn="ctr"/>
          <a:endParaRPr lang="en-US" sz="1050">
            <a:solidFill>
              <a:schemeClr val="bg1"/>
            </a:solidFill>
          </a:endParaRPr>
        </a:p>
      </xdr:txBody>
    </xdr:sp>
    <xdr:clientData/>
  </xdr:twoCellAnchor>
  <xdr:twoCellAnchor editAs="oneCell">
    <xdr:from>
      <xdr:col>5</xdr:col>
      <xdr:colOff>40571</xdr:colOff>
      <xdr:row>6</xdr:row>
      <xdr:rowOff>103187</xdr:rowOff>
    </xdr:from>
    <xdr:to>
      <xdr:col>6</xdr:col>
      <xdr:colOff>343784</xdr:colOff>
      <xdr:row>11</xdr:row>
      <xdr:rowOff>31749</xdr:rowOff>
    </xdr:to>
    <xdr:pic>
      <xdr:nvPicPr>
        <xdr:cNvPr id="18" name="Graphic 17" descr="Home with solid fill">
          <a:hlinkClick xmlns:r="http://schemas.openxmlformats.org/officeDocument/2006/relationships" r:id="rId3"/>
          <a:extLst>
            <a:ext uri="{FF2B5EF4-FFF2-40B4-BE49-F238E27FC236}">
              <a16:creationId xmlns:a16="http://schemas.microsoft.com/office/drawing/2014/main" id="{63105367-6C63-4E92-B26C-6E4D273C93E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88571" y="1208087"/>
          <a:ext cx="912813" cy="849312"/>
        </a:xfrm>
        <a:prstGeom prst="rect">
          <a:avLst/>
        </a:prstGeom>
        <a:effectLst>
          <a:glow rad="127000">
            <a:srgbClr val="CEC5FF">
              <a:alpha val="43000"/>
            </a:srgbClr>
          </a:glow>
        </a:effectLst>
      </xdr:spPr>
    </xdr:pic>
    <xdr:clientData/>
  </xdr:twoCellAnchor>
  <xdr:twoCellAnchor>
    <xdr:from>
      <xdr:col>23</xdr:col>
      <xdr:colOff>127000</xdr:colOff>
      <xdr:row>17</xdr:row>
      <xdr:rowOff>13019</xdr:rowOff>
    </xdr:from>
    <xdr:to>
      <xdr:col>25</xdr:col>
      <xdr:colOff>23813</xdr:colOff>
      <xdr:row>19</xdr:row>
      <xdr:rowOff>7938</xdr:rowOff>
    </xdr:to>
    <xdr:sp macro="" textlink="Processing!K6">
      <xdr:nvSpPr>
        <xdr:cNvPr id="19" name="TextBox 18">
          <a:extLst>
            <a:ext uri="{FF2B5EF4-FFF2-40B4-BE49-F238E27FC236}">
              <a16:creationId xmlns:a16="http://schemas.microsoft.com/office/drawing/2014/main" id="{ADF1DB61-8438-4150-B2AD-23595388859F}"/>
            </a:ext>
          </a:extLst>
        </xdr:cNvPr>
        <xdr:cNvSpPr txBox="1"/>
      </xdr:nvSpPr>
      <xdr:spPr>
        <a:xfrm>
          <a:off x="14147800" y="3143569"/>
          <a:ext cx="1116013"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E1FE0-426B-4395-AAC1-35A9723FF864}" type="TxLink">
            <a:rPr lang="en-US" sz="2000" b="0" i="0" u="none" strike="noStrike">
              <a:solidFill>
                <a:schemeClr val="bg1"/>
              </a:solidFill>
              <a:latin typeface="Aptos Narrow"/>
            </a:rPr>
            <a:pPr algn="ctr"/>
            <a:t>$3,980</a:t>
          </a:fld>
          <a:endParaRPr lang="en-US" sz="3600" b="1" i="1">
            <a:solidFill>
              <a:schemeClr val="bg1"/>
            </a:solidFill>
          </a:endParaRPr>
        </a:p>
      </xdr:txBody>
    </xdr:sp>
    <xdr:clientData/>
  </xdr:twoCellAnchor>
  <xdr:twoCellAnchor editAs="oneCell">
    <xdr:from>
      <xdr:col>5</xdr:col>
      <xdr:colOff>235792</xdr:colOff>
      <xdr:row>30</xdr:row>
      <xdr:rowOff>157349</xdr:rowOff>
    </xdr:from>
    <xdr:to>
      <xdr:col>6</xdr:col>
      <xdr:colOff>80404</xdr:colOff>
      <xdr:row>33</xdr:row>
      <xdr:rowOff>62660</xdr:rowOff>
    </xdr:to>
    <xdr:pic>
      <xdr:nvPicPr>
        <xdr:cNvPr id="20" name="Graphic 19" descr="Bullseye with solid fill">
          <a:hlinkClick xmlns:r="http://schemas.openxmlformats.org/officeDocument/2006/relationships" r:id="rId6"/>
          <a:extLst>
            <a:ext uri="{FF2B5EF4-FFF2-40B4-BE49-F238E27FC236}">
              <a16:creationId xmlns:a16="http://schemas.microsoft.com/office/drawing/2014/main" id="{123A6982-726D-4CF1-8AD0-F9760BDD6C6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83792" y="5681849"/>
          <a:ext cx="454212" cy="457761"/>
        </a:xfrm>
        <a:prstGeom prst="rect">
          <a:avLst/>
        </a:prstGeom>
      </xdr:spPr>
    </xdr:pic>
    <xdr:clientData/>
  </xdr:twoCellAnchor>
  <xdr:twoCellAnchor editAs="oneCell">
    <xdr:from>
      <xdr:col>5</xdr:col>
      <xdr:colOff>249451</xdr:colOff>
      <xdr:row>24</xdr:row>
      <xdr:rowOff>44944</xdr:rowOff>
    </xdr:from>
    <xdr:to>
      <xdr:col>6</xdr:col>
      <xdr:colOff>94063</xdr:colOff>
      <xdr:row>26</xdr:row>
      <xdr:rowOff>141222</xdr:rowOff>
    </xdr:to>
    <xdr:pic>
      <xdr:nvPicPr>
        <xdr:cNvPr id="21" name="Graphic 20" descr="Open hand with plant with solid fill">
          <a:hlinkClick xmlns:r="http://schemas.openxmlformats.org/officeDocument/2006/relationships" r:id="rId9"/>
          <a:extLst>
            <a:ext uri="{FF2B5EF4-FFF2-40B4-BE49-F238E27FC236}">
              <a16:creationId xmlns:a16="http://schemas.microsoft.com/office/drawing/2014/main" id="{3FB62B39-EDBB-49E3-BD2F-DDA331BAA73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97451" y="4464544"/>
          <a:ext cx="454212" cy="464578"/>
        </a:xfrm>
        <a:prstGeom prst="rect">
          <a:avLst/>
        </a:prstGeom>
      </xdr:spPr>
    </xdr:pic>
    <xdr:clientData/>
  </xdr:twoCellAnchor>
  <xdr:twoCellAnchor editAs="oneCell">
    <xdr:from>
      <xdr:col>5</xdr:col>
      <xdr:colOff>194943</xdr:colOff>
      <xdr:row>19</xdr:row>
      <xdr:rowOff>119771</xdr:rowOff>
    </xdr:from>
    <xdr:to>
      <xdr:col>6</xdr:col>
      <xdr:colOff>188632</xdr:colOff>
      <xdr:row>23</xdr:row>
      <xdr:rowOff>1245</xdr:rowOff>
    </xdr:to>
    <xdr:pic>
      <xdr:nvPicPr>
        <xdr:cNvPr id="22" name="Graphic 21" descr="Bar graph with downward trend with solid fill">
          <a:extLst>
            <a:ext uri="{FF2B5EF4-FFF2-40B4-BE49-F238E27FC236}">
              <a16:creationId xmlns:a16="http://schemas.microsoft.com/office/drawing/2014/main" id="{8B495A6C-92F6-4C82-A031-8A02113C14A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242943" y="3618621"/>
          <a:ext cx="603289" cy="618074"/>
        </a:xfrm>
        <a:prstGeom prst="rect">
          <a:avLst/>
        </a:prstGeom>
      </xdr:spPr>
    </xdr:pic>
    <xdr:clientData/>
  </xdr:twoCellAnchor>
  <xdr:twoCellAnchor editAs="oneCell">
    <xdr:from>
      <xdr:col>5</xdr:col>
      <xdr:colOff>203937</xdr:colOff>
      <xdr:row>15</xdr:row>
      <xdr:rowOff>148375</xdr:rowOff>
    </xdr:from>
    <xdr:to>
      <xdr:col>6</xdr:col>
      <xdr:colOff>158750</xdr:colOff>
      <xdr:row>18</xdr:row>
      <xdr:rowOff>166688</xdr:rowOff>
    </xdr:to>
    <xdr:pic>
      <xdr:nvPicPr>
        <xdr:cNvPr id="23" name="Graphic 22" descr="Bar graph with upward trend with solid fill">
          <a:hlinkClick xmlns:r="http://schemas.openxmlformats.org/officeDocument/2006/relationships" r:id="rId14"/>
          <a:extLst>
            <a:ext uri="{FF2B5EF4-FFF2-40B4-BE49-F238E27FC236}">
              <a16:creationId xmlns:a16="http://schemas.microsoft.com/office/drawing/2014/main" id="{FE909AEA-1EE2-46B2-8D4D-B01763537B2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251937" y="2910625"/>
          <a:ext cx="564413" cy="570763"/>
        </a:xfrm>
        <a:prstGeom prst="rect">
          <a:avLst/>
        </a:prstGeom>
      </xdr:spPr>
    </xdr:pic>
    <xdr:clientData/>
  </xdr:twoCellAnchor>
  <xdr:twoCellAnchor editAs="oneCell">
    <xdr:from>
      <xdr:col>5</xdr:col>
      <xdr:colOff>206375</xdr:colOff>
      <xdr:row>11</xdr:row>
      <xdr:rowOff>174624</xdr:rowOff>
    </xdr:from>
    <xdr:to>
      <xdr:col>6</xdr:col>
      <xdr:colOff>166687</xdr:colOff>
      <xdr:row>14</xdr:row>
      <xdr:rowOff>128512</xdr:rowOff>
    </xdr:to>
    <xdr:pic>
      <xdr:nvPicPr>
        <xdr:cNvPr id="24" name="Graphic 23" descr="Treasure chest outline">
          <a:hlinkClick xmlns:r="http://schemas.openxmlformats.org/officeDocument/2006/relationships" r:id="rId9"/>
          <a:extLst>
            <a:ext uri="{FF2B5EF4-FFF2-40B4-BE49-F238E27FC236}">
              <a16:creationId xmlns:a16="http://schemas.microsoft.com/office/drawing/2014/main" id="{77F01F8D-994C-4664-8257-607BF2159C7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254375" y="2200274"/>
          <a:ext cx="569912" cy="506338"/>
        </a:xfrm>
        <a:prstGeom prst="rect">
          <a:avLst/>
        </a:prstGeom>
      </xdr:spPr>
    </xdr:pic>
    <xdr:clientData/>
  </xdr:twoCellAnchor>
  <xdr:twoCellAnchor>
    <xdr:from>
      <xdr:col>22</xdr:col>
      <xdr:colOff>130969</xdr:colOff>
      <xdr:row>23</xdr:row>
      <xdr:rowOff>129877</xdr:rowOff>
    </xdr:from>
    <xdr:to>
      <xdr:col>23</xdr:col>
      <xdr:colOff>551656</xdr:colOff>
      <xdr:row>26</xdr:row>
      <xdr:rowOff>42562</xdr:rowOff>
    </xdr:to>
    <xdr:sp macro="" textlink="">
      <xdr:nvSpPr>
        <xdr:cNvPr id="25" name="TextBox 24">
          <a:extLst>
            <a:ext uri="{FF2B5EF4-FFF2-40B4-BE49-F238E27FC236}">
              <a16:creationId xmlns:a16="http://schemas.microsoft.com/office/drawing/2014/main" id="{C2A53A3B-0DBA-4D13-B84F-C5CBF232632B}"/>
            </a:ext>
          </a:extLst>
        </xdr:cNvPr>
        <xdr:cNvSpPr txBox="1"/>
      </xdr:nvSpPr>
      <xdr:spPr>
        <a:xfrm>
          <a:off x="13542169" y="4365327"/>
          <a:ext cx="1030287" cy="46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372A4"/>
              </a:solidFill>
              <a:latin typeface="+mn-lt"/>
              <a:ea typeface="+mn-ea"/>
              <a:cs typeface="+mn-cs"/>
            </a:rPr>
            <a:t>In</a:t>
          </a:r>
          <a:r>
            <a:rPr lang="en-US" sz="1400">
              <a:solidFill>
                <a:srgbClr val="6372A4"/>
              </a:solidFill>
            </a:rPr>
            <a:t>come</a:t>
          </a:r>
          <a:endParaRPr lang="en-US" sz="1100">
            <a:solidFill>
              <a:srgbClr val="6372A4"/>
            </a:solidFill>
          </a:endParaRPr>
        </a:p>
      </xdr:txBody>
    </xdr:sp>
    <xdr:clientData/>
  </xdr:twoCellAnchor>
  <xdr:twoCellAnchor>
    <xdr:from>
      <xdr:col>22</xdr:col>
      <xdr:colOff>273844</xdr:colOff>
      <xdr:row>26</xdr:row>
      <xdr:rowOff>105537</xdr:rowOff>
    </xdr:from>
    <xdr:to>
      <xdr:col>24</xdr:col>
      <xdr:colOff>51594</xdr:colOff>
      <xdr:row>28</xdr:row>
      <xdr:rowOff>129350</xdr:rowOff>
    </xdr:to>
    <xdr:sp macro="" textlink="">
      <xdr:nvSpPr>
        <xdr:cNvPr id="26" name="TextBox 25">
          <a:extLst>
            <a:ext uri="{FF2B5EF4-FFF2-40B4-BE49-F238E27FC236}">
              <a16:creationId xmlns:a16="http://schemas.microsoft.com/office/drawing/2014/main" id="{A5BC42EC-F6DF-4F39-B31F-47C870B58BE7}"/>
            </a:ext>
          </a:extLst>
        </xdr:cNvPr>
        <xdr:cNvSpPr txBox="1"/>
      </xdr:nvSpPr>
      <xdr:spPr>
        <a:xfrm>
          <a:off x="13685044" y="4893437"/>
          <a:ext cx="996950" cy="392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Expensev</a:t>
          </a:r>
        </a:p>
      </xdr:txBody>
    </xdr:sp>
    <xdr:clientData/>
  </xdr:twoCellAnchor>
  <xdr:twoCellAnchor>
    <xdr:from>
      <xdr:col>22</xdr:col>
      <xdr:colOff>301624</xdr:colOff>
      <xdr:row>31</xdr:row>
      <xdr:rowOff>8462</xdr:rowOff>
    </xdr:from>
    <xdr:to>
      <xdr:col>24</xdr:col>
      <xdr:colOff>55562</xdr:colOff>
      <xdr:row>32</xdr:row>
      <xdr:rowOff>95775</xdr:rowOff>
    </xdr:to>
    <xdr:sp macro="" textlink="">
      <xdr:nvSpPr>
        <xdr:cNvPr id="27" name="TextBox 26">
          <a:extLst>
            <a:ext uri="{FF2B5EF4-FFF2-40B4-BE49-F238E27FC236}">
              <a16:creationId xmlns:a16="http://schemas.microsoft.com/office/drawing/2014/main" id="{1C3967D9-42B3-4CB6-BFF8-9D149DBEBEE2}"/>
            </a:ext>
          </a:extLst>
        </xdr:cNvPr>
        <xdr:cNvSpPr txBox="1"/>
      </xdr:nvSpPr>
      <xdr:spPr>
        <a:xfrm>
          <a:off x="13712824" y="5717112"/>
          <a:ext cx="973138"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Debts</a:t>
          </a:r>
          <a:endParaRPr lang="en-US" sz="1100">
            <a:solidFill>
              <a:srgbClr val="6372A4"/>
            </a:solidFill>
          </a:endParaRPr>
        </a:p>
        <a:p>
          <a:endParaRPr lang="en-US" sz="1100"/>
        </a:p>
      </xdr:txBody>
    </xdr:sp>
    <xdr:clientData/>
  </xdr:twoCellAnchor>
  <xdr:twoCellAnchor>
    <xdr:from>
      <xdr:col>22</xdr:col>
      <xdr:colOff>297656</xdr:colOff>
      <xdr:row>33</xdr:row>
      <xdr:rowOff>55563</xdr:rowOff>
    </xdr:from>
    <xdr:to>
      <xdr:col>23</xdr:col>
      <xdr:colOff>607218</xdr:colOff>
      <xdr:row>36</xdr:row>
      <xdr:rowOff>95251</xdr:rowOff>
    </xdr:to>
    <xdr:sp macro="" textlink="">
      <xdr:nvSpPr>
        <xdr:cNvPr id="28" name="TextBox 27">
          <a:extLst>
            <a:ext uri="{FF2B5EF4-FFF2-40B4-BE49-F238E27FC236}">
              <a16:creationId xmlns:a16="http://schemas.microsoft.com/office/drawing/2014/main" id="{B936E530-7854-4713-8855-2D8D56BE6813}"/>
            </a:ext>
          </a:extLst>
        </xdr:cNvPr>
        <xdr:cNvSpPr txBox="1"/>
      </xdr:nvSpPr>
      <xdr:spPr>
        <a:xfrm>
          <a:off x="13708856" y="6132513"/>
          <a:ext cx="919162" cy="59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Fin Goals</a:t>
          </a:r>
        </a:p>
      </xdr:txBody>
    </xdr:sp>
    <xdr:clientData/>
  </xdr:twoCellAnchor>
  <xdr:twoCellAnchor>
    <xdr:from>
      <xdr:col>22</xdr:col>
      <xdr:colOff>281082</xdr:colOff>
      <xdr:row>29</xdr:row>
      <xdr:rowOff>9762</xdr:rowOff>
    </xdr:from>
    <xdr:to>
      <xdr:col>24</xdr:col>
      <xdr:colOff>28482</xdr:colOff>
      <xdr:row>31</xdr:row>
      <xdr:rowOff>24862</xdr:rowOff>
    </xdr:to>
    <xdr:sp macro="" textlink="">
      <xdr:nvSpPr>
        <xdr:cNvPr id="29" name="TextBox 28">
          <a:extLst>
            <a:ext uri="{FF2B5EF4-FFF2-40B4-BE49-F238E27FC236}">
              <a16:creationId xmlns:a16="http://schemas.microsoft.com/office/drawing/2014/main" id="{C0AD328D-6713-4A43-A56B-E0F0B4070535}"/>
            </a:ext>
          </a:extLst>
        </xdr:cNvPr>
        <xdr:cNvSpPr txBox="1"/>
      </xdr:nvSpPr>
      <xdr:spPr>
        <a:xfrm>
          <a:off x="13692282" y="5350112"/>
          <a:ext cx="966600" cy="38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6372A4"/>
              </a:solidFill>
            </a:rPr>
            <a:t>Investmants</a:t>
          </a:r>
        </a:p>
      </xdr:txBody>
    </xdr:sp>
    <xdr:clientData/>
  </xdr:twoCellAnchor>
  <xdr:twoCellAnchor>
    <xdr:from>
      <xdr:col>5</xdr:col>
      <xdr:colOff>164353</xdr:colOff>
      <xdr:row>27</xdr:row>
      <xdr:rowOff>119530</xdr:rowOff>
    </xdr:from>
    <xdr:to>
      <xdr:col>6</xdr:col>
      <xdr:colOff>231588</xdr:colOff>
      <xdr:row>28</xdr:row>
      <xdr:rowOff>156882</xdr:rowOff>
    </xdr:to>
    <xdr:sp macro="" textlink="">
      <xdr:nvSpPr>
        <xdr:cNvPr id="30" name="TextBox 29">
          <a:hlinkClick xmlns:r="http://schemas.openxmlformats.org/officeDocument/2006/relationships" r:id="rId19"/>
          <a:extLst>
            <a:ext uri="{FF2B5EF4-FFF2-40B4-BE49-F238E27FC236}">
              <a16:creationId xmlns:a16="http://schemas.microsoft.com/office/drawing/2014/main" id="{D3811110-8410-4CD8-86D6-F2C8BDB5CC8F}"/>
            </a:ext>
          </a:extLst>
        </xdr:cNvPr>
        <xdr:cNvSpPr txBox="1"/>
      </xdr:nvSpPr>
      <xdr:spPr>
        <a:xfrm>
          <a:off x="3212353" y="5091580"/>
          <a:ext cx="676835" cy="22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rgbClr val="6372A4"/>
              </a:solidFill>
            </a:rPr>
            <a:t>%</a:t>
          </a:r>
        </a:p>
      </xdr:txBody>
    </xdr:sp>
    <xdr:clientData/>
  </xdr:twoCellAnchor>
  <xdr:twoCellAnchor>
    <xdr:from>
      <xdr:col>22</xdr:col>
      <xdr:colOff>6049</xdr:colOff>
      <xdr:row>9</xdr:row>
      <xdr:rowOff>91164</xdr:rowOff>
    </xdr:from>
    <xdr:to>
      <xdr:col>25</xdr:col>
      <xdr:colOff>102932</xdr:colOff>
      <xdr:row>16</xdr:row>
      <xdr:rowOff>9884</xdr:rowOff>
    </xdr:to>
    <xdr:sp macro="" textlink="">
      <xdr:nvSpPr>
        <xdr:cNvPr id="31" name="Rectangle: Rounded Corners 30">
          <a:extLst>
            <a:ext uri="{FF2B5EF4-FFF2-40B4-BE49-F238E27FC236}">
              <a16:creationId xmlns:a16="http://schemas.microsoft.com/office/drawing/2014/main" id="{5170A495-0461-49B6-93D9-6E4ACE8FBDB8}"/>
            </a:ext>
          </a:extLst>
        </xdr:cNvPr>
        <xdr:cNvSpPr/>
      </xdr:nvSpPr>
      <xdr:spPr>
        <a:xfrm>
          <a:off x="13417249" y="1748514"/>
          <a:ext cx="1925683" cy="1207770"/>
        </a:xfrm>
        <a:prstGeom prst="roundRect">
          <a:avLst>
            <a:gd name="adj" fmla="val 9799"/>
          </a:avLst>
        </a:prstGeom>
        <a:gradFill>
          <a:gsLst>
            <a:gs pos="0">
              <a:srgbClr val="22248D"/>
            </a:gs>
            <a:gs pos="67000">
              <a:srgbClr val="060839"/>
            </a:gs>
          </a:gsLst>
          <a:lin ang="8100000" scaled="0"/>
        </a:gradFill>
        <a:ln w="9525">
          <a:gradFill>
            <a:gsLst>
              <a:gs pos="25000">
                <a:srgbClr val="7079FF"/>
              </a:gs>
              <a:gs pos="100000">
                <a:srgbClr val="A2D8F0"/>
              </a:gs>
            </a:gsLst>
            <a:lin ang="8100000" scaled="0"/>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22</xdr:col>
      <xdr:colOff>127000</xdr:colOff>
      <xdr:row>11</xdr:row>
      <xdr:rowOff>99787</xdr:rowOff>
    </xdr:from>
    <xdr:to>
      <xdr:col>22</xdr:col>
      <xdr:colOff>471713</xdr:colOff>
      <xdr:row>13</xdr:row>
      <xdr:rowOff>45358</xdr:rowOff>
    </xdr:to>
    <xdr:sp macro="" textlink="">
      <xdr:nvSpPr>
        <xdr:cNvPr id="32" name="Rectangle: Rounded Corners 31">
          <a:extLst>
            <a:ext uri="{FF2B5EF4-FFF2-40B4-BE49-F238E27FC236}">
              <a16:creationId xmlns:a16="http://schemas.microsoft.com/office/drawing/2014/main" id="{C14159E8-EBB9-44FC-9154-BCE4BD9B4E66}"/>
            </a:ext>
          </a:extLst>
        </xdr:cNvPr>
        <xdr:cNvSpPr/>
      </xdr:nvSpPr>
      <xdr:spPr>
        <a:xfrm>
          <a:off x="13538200" y="2125437"/>
          <a:ext cx="344713" cy="313871"/>
        </a:xfrm>
        <a:prstGeom prst="roundRect">
          <a:avLst>
            <a:gd name="adj" fmla="val 26930"/>
          </a:avLst>
        </a:prstGeom>
        <a:solidFill>
          <a:srgbClr val="FFE07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388937</xdr:colOff>
      <xdr:row>10</xdr:row>
      <xdr:rowOff>14460</xdr:rowOff>
    </xdr:from>
    <xdr:to>
      <xdr:col>25</xdr:col>
      <xdr:colOff>35151</xdr:colOff>
      <xdr:row>11</xdr:row>
      <xdr:rowOff>172358</xdr:rowOff>
    </xdr:to>
    <xdr:grpSp>
      <xdr:nvGrpSpPr>
        <xdr:cNvPr id="33" name="Group 32">
          <a:extLst>
            <a:ext uri="{FF2B5EF4-FFF2-40B4-BE49-F238E27FC236}">
              <a16:creationId xmlns:a16="http://schemas.microsoft.com/office/drawing/2014/main" id="{5829A4A4-34F6-4F4A-B48A-03A261A3F765}"/>
            </a:ext>
          </a:extLst>
        </xdr:cNvPr>
        <xdr:cNvGrpSpPr/>
      </xdr:nvGrpSpPr>
      <xdr:grpSpPr>
        <a:xfrm>
          <a:off x="14816137" y="1877127"/>
          <a:ext cx="247347" cy="344164"/>
          <a:chOff x="14904357" y="1837817"/>
          <a:chExt cx="312112" cy="354329"/>
        </a:xfrm>
      </xdr:grpSpPr>
      <xdr:sp macro="" textlink="">
        <xdr:nvSpPr>
          <xdr:cNvPr id="34" name="Freeform: Shape 33">
            <a:extLst>
              <a:ext uri="{FF2B5EF4-FFF2-40B4-BE49-F238E27FC236}">
                <a16:creationId xmlns:a16="http://schemas.microsoft.com/office/drawing/2014/main" id="{ECE7E179-F55F-4FE8-BDE5-76F17AC8D5E7}"/>
              </a:ext>
            </a:extLst>
          </xdr:cNvPr>
          <xdr:cNvSpPr/>
        </xdr:nvSpPr>
        <xdr:spPr>
          <a:xfrm>
            <a:off x="15121164" y="1837817"/>
            <a:ext cx="95305" cy="354329"/>
          </a:xfrm>
          <a:custGeom>
            <a:avLst/>
            <a:gdLst>
              <a:gd name="csX0" fmla="*/ 56102 w 95305"/>
              <a:gd name="csY0" fmla="*/ 191453 h 354329"/>
              <a:gd name="csX1" fmla="*/ 0 w 95305"/>
              <a:gd name="csY1" fmla="*/ 325755 h 354329"/>
              <a:gd name="csX2" fmla="*/ 24956 w 95305"/>
              <a:gd name="csY2" fmla="*/ 354330 h 354329"/>
              <a:gd name="csX3" fmla="*/ 30861 w 95305"/>
              <a:gd name="csY3" fmla="*/ 0 h 354329"/>
              <a:gd name="csX4" fmla="*/ 2286 w 95305"/>
              <a:gd name="csY4" fmla="*/ 24575 h 354329"/>
              <a:gd name="csX5" fmla="*/ 56102 w 95305"/>
              <a:gd name="csY5" fmla="*/ 191453 h 354329"/>
            </a:gdLst>
            <a:ahLst/>
            <a:cxnLst>
              <a:cxn ang="0">
                <a:pos x="csX0" y="csY0"/>
              </a:cxn>
              <a:cxn ang="0">
                <a:pos x="csX1" y="csY1"/>
              </a:cxn>
              <a:cxn ang="0">
                <a:pos x="csX2" y="csY2"/>
              </a:cxn>
              <a:cxn ang="0">
                <a:pos x="csX3" y="csY3"/>
              </a:cxn>
              <a:cxn ang="0">
                <a:pos x="csX4" y="csY4"/>
              </a:cxn>
              <a:cxn ang="0">
                <a:pos x="csX5" y="csY5"/>
              </a:cxn>
            </a:cxnLst>
            <a:rect l="l" t="t" r="r" b="b"/>
            <a:pathLst>
              <a:path w="95305" h="354329">
                <a:moveTo>
                  <a:pt x="56102" y="191453"/>
                </a:moveTo>
                <a:cubicBezTo>
                  <a:pt x="52582" y="241148"/>
                  <a:pt x="32876" y="288322"/>
                  <a:pt x="0" y="325755"/>
                </a:cubicBezTo>
                <a:lnTo>
                  <a:pt x="24956" y="354330"/>
                </a:lnTo>
                <a:cubicBezTo>
                  <a:pt x="116453" y="254791"/>
                  <a:pt x="118990" y="102533"/>
                  <a:pt x="30861" y="0"/>
                </a:cubicBezTo>
                <a:lnTo>
                  <a:pt x="2286" y="24575"/>
                </a:lnTo>
                <a:cubicBezTo>
                  <a:pt x="41693" y="70836"/>
                  <a:pt x="61058" y="130885"/>
                  <a:pt x="56102" y="191453"/>
                </a:cubicBezTo>
                <a:close/>
              </a:path>
            </a:pathLst>
          </a:custGeom>
          <a:solidFill>
            <a:schemeClr val="bg1"/>
          </a:solidFill>
          <a:ln w="9525" cap="flat">
            <a:noFill/>
            <a:prstDash val="solid"/>
            <a:miter/>
          </a:ln>
        </xdr:spPr>
      </xdr:sp>
      <xdr:sp macro="" textlink="">
        <xdr:nvSpPr>
          <xdr:cNvPr id="35" name="Freeform: Shape 34">
            <a:extLst>
              <a:ext uri="{FF2B5EF4-FFF2-40B4-BE49-F238E27FC236}">
                <a16:creationId xmlns:a16="http://schemas.microsoft.com/office/drawing/2014/main" id="{11005846-B806-9955-2325-7CCEA2A9B6CE}"/>
              </a:ext>
            </a:extLst>
          </xdr:cNvPr>
          <xdr:cNvSpPr/>
        </xdr:nvSpPr>
        <xdr:spPr>
          <a:xfrm>
            <a:off x="15064776" y="1888299"/>
            <a:ext cx="75014" cy="245649"/>
          </a:xfrm>
          <a:custGeom>
            <a:avLst/>
            <a:gdLst>
              <a:gd name="csX0" fmla="*/ 36481 w 75014"/>
              <a:gd name="csY0" fmla="*/ 135255 h 245649"/>
              <a:gd name="csX1" fmla="*/ 5334 w 75014"/>
              <a:gd name="csY1" fmla="*/ 216408 h 245649"/>
              <a:gd name="csX2" fmla="*/ 30480 w 75014"/>
              <a:gd name="csY2" fmla="*/ 245650 h 245649"/>
              <a:gd name="csX3" fmla="*/ 28575 w 75014"/>
              <a:gd name="csY3" fmla="*/ 0 h 245649"/>
              <a:gd name="csX4" fmla="*/ 0 w 75014"/>
              <a:gd name="csY4" fmla="*/ 24575 h 245649"/>
              <a:gd name="csX5" fmla="*/ 36481 w 75014"/>
              <a:gd name="csY5" fmla="*/ 135255 h 245649"/>
            </a:gdLst>
            <a:ahLst/>
            <a:cxnLst>
              <a:cxn ang="0">
                <a:pos x="csX0" y="csY0"/>
              </a:cxn>
              <a:cxn ang="0">
                <a:pos x="csX1" y="csY1"/>
              </a:cxn>
              <a:cxn ang="0">
                <a:pos x="csX2" y="csY2"/>
              </a:cxn>
              <a:cxn ang="0">
                <a:pos x="csX3" y="csY3"/>
              </a:cxn>
              <a:cxn ang="0">
                <a:pos x="csX4" y="csY4"/>
              </a:cxn>
              <a:cxn ang="0">
                <a:pos x="csX5" y="csY5"/>
              </a:cxn>
            </a:cxnLst>
            <a:rect l="l" t="t" r="r" b="b"/>
            <a:pathLst>
              <a:path w="75014" h="245649">
                <a:moveTo>
                  <a:pt x="36481" y="135255"/>
                </a:moveTo>
                <a:cubicBezTo>
                  <a:pt x="34274" y="164773"/>
                  <a:pt x="23443" y="192993"/>
                  <a:pt x="5334" y="216408"/>
                </a:cubicBezTo>
                <a:lnTo>
                  <a:pt x="30480" y="245650"/>
                </a:lnTo>
                <a:cubicBezTo>
                  <a:pt x="90573" y="174524"/>
                  <a:pt x="89765" y="70186"/>
                  <a:pt x="28575" y="0"/>
                </a:cubicBezTo>
                <a:lnTo>
                  <a:pt x="0" y="24575"/>
                </a:lnTo>
                <a:cubicBezTo>
                  <a:pt x="26418" y="55135"/>
                  <a:pt x="39549" y="94975"/>
                  <a:pt x="36481" y="135255"/>
                </a:cubicBezTo>
                <a:close/>
              </a:path>
            </a:pathLst>
          </a:custGeom>
          <a:solidFill>
            <a:schemeClr val="bg1"/>
          </a:solidFill>
          <a:ln w="9525" cap="flat">
            <a:noFill/>
            <a:prstDash val="solid"/>
            <a:miter/>
          </a:ln>
        </xdr:spPr>
      </xdr:sp>
      <xdr:sp macro="" textlink="">
        <xdr:nvSpPr>
          <xdr:cNvPr id="36" name="Oval 35">
            <a:extLst>
              <a:ext uri="{FF2B5EF4-FFF2-40B4-BE49-F238E27FC236}">
                <a16:creationId xmlns:a16="http://schemas.microsoft.com/office/drawing/2014/main" id="{7E23B36C-F432-071F-4D4E-4FB1F68D2472}"/>
              </a:ext>
            </a:extLst>
          </xdr:cNvPr>
          <xdr:cNvSpPr/>
        </xdr:nvSpPr>
        <xdr:spPr>
          <a:xfrm>
            <a:off x="14904357" y="1932215"/>
            <a:ext cx="118872" cy="118872"/>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22</xdr:col>
      <xdr:colOff>163286</xdr:colOff>
      <xdr:row>14</xdr:row>
      <xdr:rowOff>27214</xdr:rowOff>
    </xdr:from>
    <xdr:to>
      <xdr:col>24</xdr:col>
      <xdr:colOff>535215</xdr:colOff>
      <xdr:row>15</xdr:row>
      <xdr:rowOff>54428</xdr:rowOff>
    </xdr:to>
    <xdr:sp macro="" textlink="">
      <xdr:nvSpPr>
        <xdr:cNvPr id="37" name="TextBox 36">
          <a:extLst>
            <a:ext uri="{FF2B5EF4-FFF2-40B4-BE49-F238E27FC236}">
              <a16:creationId xmlns:a16="http://schemas.microsoft.com/office/drawing/2014/main" id="{F8CCCB26-F1E2-4D23-98BB-8D2412778A7A}"/>
            </a:ext>
          </a:extLst>
        </xdr:cNvPr>
        <xdr:cNvSpPr txBox="1"/>
      </xdr:nvSpPr>
      <xdr:spPr>
        <a:xfrm>
          <a:off x="13574486" y="2605314"/>
          <a:ext cx="1591129" cy="21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r>
            <a:rPr lang="en-US" sz="1100" baseline="0">
              <a:solidFill>
                <a:schemeClr val="bg1"/>
              </a:solidFill>
            </a:rPr>
            <a:t> ***** **** *****</a:t>
          </a:r>
          <a:endParaRPr lang="en-US" sz="1100">
            <a:solidFill>
              <a:schemeClr val="bg1"/>
            </a:solidFill>
          </a:endParaRPr>
        </a:p>
      </xdr:txBody>
    </xdr:sp>
    <xdr:clientData/>
  </xdr:twoCellAnchor>
  <xdr:twoCellAnchor editAs="oneCell">
    <xdr:from>
      <xdr:col>23</xdr:col>
      <xdr:colOff>453571</xdr:colOff>
      <xdr:row>10</xdr:row>
      <xdr:rowOff>36286</xdr:rowOff>
    </xdr:from>
    <xdr:to>
      <xdr:col>24</xdr:col>
      <xdr:colOff>211545</xdr:colOff>
      <xdr:row>12</xdr:row>
      <xdr:rowOff>39189</xdr:rowOff>
    </xdr:to>
    <xdr:pic>
      <xdr:nvPicPr>
        <xdr:cNvPr id="38" name="Graphic 37" descr="Moon with solid fill">
          <a:extLst>
            <a:ext uri="{FF2B5EF4-FFF2-40B4-BE49-F238E27FC236}">
              <a16:creationId xmlns:a16="http://schemas.microsoft.com/office/drawing/2014/main" id="{3456F4D7-D128-4F0A-943C-93996DD2278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474371" y="1877786"/>
          <a:ext cx="367574" cy="371203"/>
        </a:xfrm>
        <a:prstGeom prst="rect">
          <a:avLst/>
        </a:prstGeom>
      </xdr:spPr>
    </xdr:pic>
    <xdr:clientData/>
  </xdr:twoCellAnchor>
  <xdr:twoCellAnchor editAs="oneCell">
    <xdr:from>
      <xdr:col>22</xdr:col>
      <xdr:colOff>535214</xdr:colOff>
      <xdr:row>10</xdr:row>
      <xdr:rowOff>36286</xdr:rowOff>
    </xdr:from>
    <xdr:to>
      <xdr:col>23</xdr:col>
      <xdr:colOff>303686</xdr:colOff>
      <xdr:row>12</xdr:row>
      <xdr:rowOff>51274</xdr:rowOff>
    </xdr:to>
    <xdr:pic>
      <xdr:nvPicPr>
        <xdr:cNvPr id="39" name="Picture 79" descr="Sun with solid fill">
          <a:extLst>
            <a:ext uri="{FF2B5EF4-FFF2-40B4-BE49-F238E27FC236}">
              <a16:creationId xmlns:a16="http://schemas.microsoft.com/office/drawing/2014/main" id="{C0A6B010-E0A8-4042-8830-9D3920000048}"/>
            </a:ext>
          </a:extLst>
        </xdr:cNvPr>
        <xdr:cNvPicPr>
          <a:picLocks noChangeAspect="1"/>
        </xdr:cNvPicPr>
      </xdr:nvPicPr>
      <xdr:blipFill>
        <a:blip xmlns:r="http://schemas.openxmlformats.org/officeDocument/2006/relationships" r:embed="rId22"/>
        <a:stretch>
          <a:fillRect/>
        </a:stretch>
      </xdr:blipFill>
      <xdr:spPr>
        <a:xfrm>
          <a:off x="13946414" y="1877786"/>
          <a:ext cx="378072" cy="383288"/>
        </a:xfrm>
        <a:prstGeom prst="rect">
          <a:avLst/>
        </a:prstGeom>
      </xdr:spPr>
    </xdr:pic>
    <xdr:clientData/>
  </xdr:twoCellAnchor>
  <xdr:twoCellAnchor editAs="oneCell">
    <xdr:from>
      <xdr:col>7</xdr:col>
      <xdr:colOff>176390</xdr:colOff>
      <xdr:row>3</xdr:row>
      <xdr:rowOff>60854</xdr:rowOff>
    </xdr:from>
    <xdr:to>
      <xdr:col>25</xdr:col>
      <xdr:colOff>0</xdr:colOff>
      <xdr:row>5</xdr:row>
      <xdr:rowOff>92603</xdr:rowOff>
    </xdr:to>
    <mc:AlternateContent xmlns:mc="http://schemas.openxmlformats.org/markup-compatibility/2006" xmlns:a14="http://schemas.microsoft.com/office/drawing/2010/main">
      <mc:Choice Requires="a14">
        <xdr:graphicFrame macro="">
          <xdr:nvGraphicFramePr>
            <xdr:cNvPr id="41" name="Month 1">
              <a:extLst>
                <a:ext uri="{FF2B5EF4-FFF2-40B4-BE49-F238E27FC236}">
                  <a16:creationId xmlns:a16="http://schemas.microsoft.com/office/drawing/2014/main" id="{CD2F810D-DCB7-47B4-8C6C-84C0A392AB9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473223" y="600604"/>
              <a:ext cx="10872610" cy="391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484187</xdr:colOff>
      <xdr:row>17</xdr:row>
      <xdr:rowOff>5081</xdr:rowOff>
    </xdr:from>
    <xdr:to>
      <xdr:col>23</xdr:col>
      <xdr:colOff>381000</xdr:colOff>
      <xdr:row>19</xdr:row>
      <xdr:rowOff>0</xdr:rowOff>
    </xdr:to>
    <xdr:sp macro="" textlink="">
      <xdr:nvSpPr>
        <xdr:cNvPr id="43" name="TextBox 42">
          <a:extLst>
            <a:ext uri="{FF2B5EF4-FFF2-40B4-BE49-F238E27FC236}">
              <a16:creationId xmlns:a16="http://schemas.microsoft.com/office/drawing/2014/main" id="{E4EF02FC-7323-415E-94E4-1225D959AD86}"/>
            </a:ext>
          </a:extLst>
        </xdr:cNvPr>
        <xdr:cNvSpPr txBox="1"/>
      </xdr:nvSpPr>
      <xdr:spPr>
        <a:xfrm>
          <a:off x="13285787" y="3135631"/>
          <a:ext cx="1116013"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1">
              <a:solidFill>
                <a:srgbClr val="6372A4"/>
              </a:solidFill>
            </a:rPr>
            <a:t>Blanace:</a:t>
          </a:r>
        </a:p>
      </xdr:txBody>
    </xdr:sp>
    <xdr:clientData/>
  </xdr:twoCellAnchor>
  <xdr:twoCellAnchor>
    <xdr:from>
      <xdr:col>23</xdr:col>
      <xdr:colOff>486582</xdr:colOff>
      <xdr:row>26</xdr:row>
      <xdr:rowOff>95670</xdr:rowOff>
    </xdr:from>
    <xdr:to>
      <xdr:col>25</xdr:col>
      <xdr:colOff>29608</xdr:colOff>
      <xdr:row>28</xdr:row>
      <xdr:rowOff>90589</xdr:rowOff>
    </xdr:to>
    <xdr:sp macro="" textlink="Processing!E14">
      <xdr:nvSpPr>
        <xdr:cNvPr id="46" name="TextBox 45">
          <a:extLst>
            <a:ext uri="{FF2B5EF4-FFF2-40B4-BE49-F238E27FC236}">
              <a16:creationId xmlns:a16="http://schemas.microsoft.com/office/drawing/2014/main" id="{9140BB9C-74D0-4524-900A-32D08834828A}"/>
            </a:ext>
          </a:extLst>
        </xdr:cNvPr>
        <xdr:cNvSpPr txBox="1"/>
      </xdr:nvSpPr>
      <xdr:spPr>
        <a:xfrm>
          <a:off x="14507382" y="4883570"/>
          <a:ext cx="762226"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FE3DA70-869E-43C1-9FD3-A5DC7BFFC055}" type="TxLink">
            <a:rPr lang="en-US" sz="1400" b="0" i="0" u="none" strike="noStrike">
              <a:solidFill>
                <a:schemeClr val="tx2">
                  <a:lumMod val="25000"/>
                  <a:lumOff val="75000"/>
                </a:schemeClr>
              </a:solidFill>
              <a:latin typeface="Aptos Narrow"/>
              <a:ea typeface="+mn-ea"/>
              <a:cs typeface="+mn-cs"/>
            </a:rPr>
            <a:pPr marL="0" indent="0" algn="r"/>
            <a:t>$18,904</a:t>
          </a:fld>
          <a:endParaRPr lang="en-US" sz="1600" b="1" i="1" u="none" strike="noStrike">
            <a:solidFill>
              <a:schemeClr val="tx2">
                <a:lumMod val="25000"/>
                <a:lumOff val="75000"/>
              </a:schemeClr>
            </a:solidFill>
            <a:latin typeface="Aptos Narrow"/>
            <a:ea typeface="+mn-ea"/>
            <a:cs typeface="+mn-cs"/>
          </a:endParaRPr>
        </a:p>
      </xdr:txBody>
    </xdr:sp>
    <xdr:clientData/>
  </xdr:twoCellAnchor>
  <xdr:twoCellAnchor>
    <xdr:from>
      <xdr:col>7</xdr:col>
      <xdr:colOff>207433</xdr:colOff>
      <xdr:row>11</xdr:row>
      <xdr:rowOff>98954</xdr:rowOff>
    </xdr:from>
    <xdr:to>
      <xdr:col>12</xdr:col>
      <xdr:colOff>116417</xdr:colOff>
      <xdr:row>27</xdr:row>
      <xdr:rowOff>126999</xdr:rowOff>
    </xdr:to>
    <xdr:sp macro="" textlink="">
      <xdr:nvSpPr>
        <xdr:cNvPr id="54" name="Oval 53">
          <a:extLst>
            <a:ext uri="{FF2B5EF4-FFF2-40B4-BE49-F238E27FC236}">
              <a16:creationId xmlns:a16="http://schemas.microsoft.com/office/drawing/2014/main" id="{12BAC380-F891-4BD0-A612-F1C340A52F89}"/>
            </a:ext>
          </a:extLst>
        </xdr:cNvPr>
        <xdr:cNvSpPr/>
      </xdr:nvSpPr>
      <xdr:spPr>
        <a:xfrm>
          <a:off x="4504266" y="2078037"/>
          <a:ext cx="2978151" cy="2906712"/>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268815</xdr:colOff>
      <xdr:row>14</xdr:row>
      <xdr:rowOff>169969</xdr:rowOff>
    </xdr:from>
    <xdr:to>
      <xdr:col>11</xdr:col>
      <xdr:colOff>31750</xdr:colOff>
      <xdr:row>23</xdr:row>
      <xdr:rowOff>105835</xdr:rowOff>
    </xdr:to>
    <xdr:sp macro="" textlink="">
      <xdr:nvSpPr>
        <xdr:cNvPr id="55" name="Oval 54">
          <a:extLst>
            <a:ext uri="{FF2B5EF4-FFF2-40B4-BE49-F238E27FC236}">
              <a16:creationId xmlns:a16="http://schemas.microsoft.com/office/drawing/2014/main" id="{330023C9-F6FB-489C-A7E0-D9E05373D64E}"/>
            </a:ext>
          </a:extLst>
        </xdr:cNvPr>
        <xdr:cNvSpPr/>
      </xdr:nvSpPr>
      <xdr:spPr>
        <a:xfrm>
          <a:off x="5179482" y="2688802"/>
          <a:ext cx="1604435" cy="1555116"/>
        </a:xfrm>
        <a:prstGeom prst="ellipse">
          <a:avLst/>
        </a:prstGeom>
        <a:gradFill>
          <a:gsLst>
            <a:gs pos="0">
              <a:srgbClr val="3647E3"/>
            </a:gs>
            <a:gs pos="100000">
              <a:srgbClr val="212469"/>
            </a:gs>
          </a:gsLst>
          <a:lin ang="8100000" scaled="1"/>
        </a:gradFill>
        <a:ln w="9525">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190500</xdr:colOff>
      <xdr:row>9</xdr:row>
      <xdr:rowOff>148168</xdr:rowOff>
    </xdr:from>
    <xdr:to>
      <xdr:col>13</xdr:col>
      <xdr:colOff>116417</xdr:colOff>
      <xdr:row>33</xdr:row>
      <xdr:rowOff>74084</xdr:rowOff>
    </xdr:to>
    <xdr:graphicFrame macro="">
      <xdr:nvGraphicFramePr>
        <xdr:cNvPr id="56" name="Chart 55">
          <a:extLst>
            <a:ext uri="{FF2B5EF4-FFF2-40B4-BE49-F238E27FC236}">
              <a16:creationId xmlns:a16="http://schemas.microsoft.com/office/drawing/2014/main" id="{09E6274E-0EAF-4DF7-9AAE-3B1ED9EEE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xdr:col>
      <xdr:colOff>222779</xdr:colOff>
      <xdr:row>11</xdr:row>
      <xdr:rowOff>10582</xdr:rowOff>
    </xdr:from>
    <xdr:to>
      <xdr:col>12</xdr:col>
      <xdr:colOff>201084</xdr:colOff>
      <xdr:row>28</xdr:row>
      <xdr:rowOff>10581</xdr:rowOff>
    </xdr:to>
    <xdr:sp macro="" textlink="">
      <xdr:nvSpPr>
        <xdr:cNvPr id="57" name="Circle: Hollow 56">
          <a:extLst>
            <a:ext uri="{FF2B5EF4-FFF2-40B4-BE49-F238E27FC236}">
              <a16:creationId xmlns:a16="http://schemas.microsoft.com/office/drawing/2014/main" id="{7CCF14C2-9D1A-4218-9237-AA6F3E4D51D6}"/>
            </a:ext>
          </a:extLst>
        </xdr:cNvPr>
        <xdr:cNvSpPr/>
      </xdr:nvSpPr>
      <xdr:spPr>
        <a:xfrm>
          <a:off x="4519612" y="1989665"/>
          <a:ext cx="3047472" cy="3058583"/>
        </a:xfrm>
        <a:prstGeom prst="donut">
          <a:avLst>
            <a:gd name="adj" fmla="val 9844"/>
          </a:avLst>
        </a:prstGeom>
        <a:solidFill>
          <a:srgbClr val="10123A"/>
        </a:solidFill>
        <a:ln>
          <a:noFill/>
        </a:ln>
        <a:effectLst>
          <a:outerShdw blurRad="546100" sx="91000" sy="91000" algn="ctr" rotWithShape="0">
            <a:prstClr val="black">
              <a:alpha val="8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66144</xdr:colOff>
      <xdr:row>17</xdr:row>
      <xdr:rowOff>0</xdr:rowOff>
    </xdr:from>
    <xdr:to>
      <xdr:col>10</xdr:col>
      <xdr:colOff>320991</xdr:colOff>
      <xdr:row>21</xdr:row>
      <xdr:rowOff>149013</xdr:rowOff>
    </xdr:to>
    <xdr:sp macro="" textlink="">
      <xdr:nvSpPr>
        <xdr:cNvPr id="58" name="Oval 57">
          <a:extLst>
            <a:ext uri="{FF2B5EF4-FFF2-40B4-BE49-F238E27FC236}">
              <a16:creationId xmlns:a16="http://schemas.microsoft.com/office/drawing/2014/main" id="{F8A065B4-2AF8-4B5A-A1F9-545741170144}"/>
            </a:ext>
          </a:extLst>
        </xdr:cNvPr>
        <xdr:cNvSpPr/>
      </xdr:nvSpPr>
      <xdr:spPr>
        <a:xfrm>
          <a:off x="5590644" y="3058583"/>
          <a:ext cx="868680" cy="868680"/>
        </a:xfrm>
        <a:prstGeom prst="ellipse">
          <a:avLst/>
        </a:prstGeom>
        <a:solidFill>
          <a:srgbClr val="10123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402165</xdr:colOff>
      <xdr:row>16</xdr:row>
      <xdr:rowOff>89957</xdr:rowOff>
    </xdr:from>
    <xdr:to>
      <xdr:col>11</xdr:col>
      <xdr:colOff>166157</xdr:colOff>
      <xdr:row>22</xdr:row>
      <xdr:rowOff>27854</xdr:rowOff>
    </xdr:to>
    <xdr:graphicFrame macro="">
      <xdr:nvGraphicFramePr>
        <xdr:cNvPr id="59" name="Chart 58">
          <a:extLst>
            <a:ext uri="{FF2B5EF4-FFF2-40B4-BE49-F238E27FC236}">
              <a16:creationId xmlns:a16="http://schemas.microsoft.com/office/drawing/2014/main" id="{A5B2DC92-9C2B-4A54-8FA2-2E1F31867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10</xdr:col>
      <xdr:colOff>476254</xdr:colOff>
      <xdr:row>8</xdr:row>
      <xdr:rowOff>86178</xdr:rowOff>
    </xdr:from>
    <xdr:to>
      <xdr:col>13</xdr:col>
      <xdr:colOff>105833</xdr:colOff>
      <xdr:row>10</xdr:row>
      <xdr:rowOff>144598</xdr:rowOff>
    </xdr:to>
    <xdr:sp macro="" textlink="Processing!B16">
      <xdr:nvSpPr>
        <xdr:cNvPr id="61" name="TextBox 60">
          <a:extLst>
            <a:ext uri="{FF2B5EF4-FFF2-40B4-BE49-F238E27FC236}">
              <a16:creationId xmlns:a16="http://schemas.microsoft.com/office/drawing/2014/main" id="{138DFB08-6B75-458A-ABF6-3A6D8EDED467}"/>
            </a:ext>
          </a:extLst>
        </xdr:cNvPr>
        <xdr:cNvSpPr txBox="1"/>
      </xdr:nvSpPr>
      <xdr:spPr>
        <a:xfrm>
          <a:off x="6614587" y="1525511"/>
          <a:ext cx="1471079" cy="418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C9D3E8D-52D8-4F2C-8048-765B1CA0816D}" type="TxLink">
            <a:rPr lang="en-US" sz="2000" b="0" i="0" u="none" strike="noStrike">
              <a:solidFill>
                <a:schemeClr val="tx2">
                  <a:lumMod val="25000"/>
                  <a:lumOff val="75000"/>
                </a:schemeClr>
              </a:solidFill>
              <a:latin typeface="Aptos Narrow"/>
            </a:rPr>
            <a:pPr algn="l"/>
            <a:t>$281,096</a:t>
          </a:fld>
          <a:endParaRPr lang="en-US" sz="2400" b="1" i="1">
            <a:solidFill>
              <a:schemeClr val="tx2">
                <a:lumMod val="25000"/>
                <a:lumOff val="75000"/>
              </a:schemeClr>
            </a:solidFill>
          </a:endParaRPr>
        </a:p>
      </xdr:txBody>
    </xdr:sp>
    <xdr:clientData/>
  </xdr:twoCellAnchor>
  <xdr:twoCellAnchor>
    <xdr:from>
      <xdr:col>9</xdr:col>
      <xdr:colOff>178028</xdr:colOff>
      <xdr:row>18</xdr:row>
      <xdr:rowOff>72233</xdr:rowOff>
    </xdr:from>
    <xdr:to>
      <xdr:col>10</xdr:col>
      <xdr:colOff>323549</xdr:colOff>
      <xdr:row>20</xdr:row>
      <xdr:rowOff>67152</xdr:rowOff>
    </xdr:to>
    <xdr:sp macro="" textlink="Processing!B26">
      <xdr:nvSpPr>
        <xdr:cNvPr id="62" name="TextBox 61">
          <a:extLst>
            <a:ext uri="{FF2B5EF4-FFF2-40B4-BE49-F238E27FC236}">
              <a16:creationId xmlns:a16="http://schemas.microsoft.com/office/drawing/2014/main" id="{4D5FFF2B-A992-42AF-8915-8C2E8BDAD33C}"/>
            </a:ext>
          </a:extLst>
        </xdr:cNvPr>
        <xdr:cNvSpPr txBox="1"/>
      </xdr:nvSpPr>
      <xdr:spPr>
        <a:xfrm>
          <a:off x="5702528" y="3310733"/>
          <a:ext cx="759354" cy="354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CF570D-1588-4FC6-90A3-9D76975A7EA9}" type="TxLink">
            <a:rPr lang="en-US" sz="2000" b="0" i="0" u="none" strike="noStrike">
              <a:solidFill>
                <a:schemeClr val="tx2">
                  <a:lumMod val="25000"/>
                  <a:lumOff val="75000"/>
                </a:schemeClr>
              </a:solidFill>
              <a:latin typeface="Aptos Narrow"/>
            </a:rPr>
            <a:pPr algn="ctr"/>
            <a:t>6%</a:t>
          </a:fld>
          <a:endParaRPr lang="en-US" sz="2400" b="1" i="1">
            <a:solidFill>
              <a:schemeClr val="tx2">
                <a:lumMod val="25000"/>
                <a:lumOff val="75000"/>
              </a:schemeClr>
            </a:solidFill>
          </a:endParaRPr>
        </a:p>
      </xdr:txBody>
    </xdr:sp>
    <xdr:clientData/>
  </xdr:twoCellAnchor>
  <xdr:twoCellAnchor>
    <xdr:from>
      <xdr:col>23</xdr:col>
      <xdr:colOff>538420</xdr:colOff>
      <xdr:row>30</xdr:row>
      <xdr:rowOff>177785</xdr:rowOff>
    </xdr:from>
    <xdr:to>
      <xdr:col>25</xdr:col>
      <xdr:colOff>305583</xdr:colOff>
      <xdr:row>32</xdr:row>
      <xdr:rowOff>172704</xdr:rowOff>
    </xdr:to>
    <xdr:sp macro="" textlink="Processing!O20">
      <xdr:nvSpPr>
        <xdr:cNvPr id="71" name="TextBox 70">
          <a:extLst>
            <a:ext uri="{FF2B5EF4-FFF2-40B4-BE49-F238E27FC236}">
              <a16:creationId xmlns:a16="http://schemas.microsoft.com/office/drawing/2014/main" id="{BDF0E1A6-4EA5-426A-A4FA-7513D682E956}"/>
            </a:ext>
          </a:extLst>
        </xdr:cNvPr>
        <xdr:cNvSpPr txBox="1"/>
      </xdr:nvSpPr>
      <xdr:spPr>
        <a:xfrm>
          <a:off x="14559220" y="5702285"/>
          <a:ext cx="986363"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EC8FCC-96DD-489D-9D1F-BDA06E3B6D0B}" type="TxLink">
            <a:rPr lang="en-US" sz="1200" b="0" i="0" u="none" strike="noStrike">
              <a:solidFill>
                <a:schemeClr val="tx2">
                  <a:lumMod val="25000"/>
                  <a:lumOff val="75000"/>
                </a:schemeClr>
              </a:solidFill>
              <a:latin typeface="Aptos Narrow"/>
              <a:ea typeface="+mn-ea"/>
              <a:cs typeface="+mn-cs"/>
            </a:rPr>
            <a:pPr marL="0" indent="0" algn="l"/>
            <a:t> $95.42 </a:t>
          </a:fld>
          <a:endParaRPr lang="en-US" sz="1200" b="0" i="0" u="none" strike="noStrike">
            <a:solidFill>
              <a:schemeClr val="tx2">
                <a:lumMod val="25000"/>
                <a:lumOff val="75000"/>
              </a:schemeClr>
            </a:solidFill>
            <a:latin typeface="Aptos Narrow"/>
            <a:ea typeface="+mn-ea"/>
            <a:cs typeface="+mn-cs"/>
          </a:endParaRPr>
        </a:p>
      </xdr:txBody>
    </xdr:sp>
    <xdr:clientData/>
  </xdr:twoCellAnchor>
  <xdr:twoCellAnchor>
    <xdr:from>
      <xdr:col>23</xdr:col>
      <xdr:colOff>317881</xdr:colOff>
      <xdr:row>33</xdr:row>
      <xdr:rowOff>8860</xdr:rowOff>
    </xdr:from>
    <xdr:to>
      <xdr:col>25</xdr:col>
      <xdr:colOff>85045</xdr:colOff>
      <xdr:row>35</xdr:row>
      <xdr:rowOff>3779</xdr:rowOff>
    </xdr:to>
    <xdr:sp macro="" textlink="Processing!F35">
      <xdr:nvSpPr>
        <xdr:cNvPr id="78" name="TextBox 77">
          <a:extLst>
            <a:ext uri="{FF2B5EF4-FFF2-40B4-BE49-F238E27FC236}">
              <a16:creationId xmlns:a16="http://schemas.microsoft.com/office/drawing/2014/main" id="{68C9ED91-E6A7-4BBF-B27B-19E0A663D554}"/>
            </a:ext>
          </a:extLst>
        </xdr:cNvPr>
        <xdr:cNvSpPr txBox="1"/>
      </xdr:nvSpPr>
      <xdr:spPr>
        <a:xfrm>
          <a:off x="14338681" y="6085810"/>
          <a:ext cx="986364"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A5ADB9-2CC4-4604-9A35-AA2E683E5678}" type="TxLink">
            <a:rPr lang="en-US" sz="1400" b="0" i="0" u="none" strike="noStrike">
              <a:solidFill>
                <a:schemeClr val="tx2">
                  <a:lumMod val="25000"/>
                  <a:lumOff val="75000"/>
                </a:schemeClr>
              </a:solidFill>
              <a:latin typeface="Aptos Narrow"/>
              <a:ea typeface="+mn-ea"/>
              <a:cs typeface="+mn-cs"/>
            </a:rPr>
            <a:pPr marL="0" indent="0" algn="ctr"/>
            <a:t>$99</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21</xdr:col>
      <xdr:colOff>468313</xdr:colOff>
      <xdr:row>21</xdr:row>
      <xdr:rowOff>103186</xdr:rowOff>
    </xdr:from>
    <xdr:to>
      <xdr:col>22</xdr:col>
      <xdr:colOff>222886</xdr:colOff>
      <xdr:row>23</xdr:row>
      <xdr:rowOff>103821</xdr:rowOff>
    </xdr:to>
    <xdr:sp macro="" textlink="">
      <xdr:nvSpPr>
        <xdr:cNvPr id="79" name="Oval 78">
          <a:extLst>
            <a:ext uri="{FF2B5EF4-FFF2-40B4-BE49-F238E27FC236}">
              <a16:creationId xmlns:a16="http://schemas.microsoft.com/office/drawing/2014/main" id="{32B90A8B-CD63-4518-B417-24E82CCB2BA1}"/>
            </a:ext>
          </a:extLst>
        </xdr:cNvPr>
        <xdr:cNvSpPr/>
      </xdr:nvSpPr>
      <xdr:spPr>
        <a:xfrm>
          <a:off x="13269913" y="3970336"/>
          <a:ext cx="364173" cy="368935"/>
        </a:xfrm>
        <a:prstGeom prst="ellipse">
          <a:avLst/>
        </a:prstGeom>
        <a:solidFill>
          <a:srgbClr val="FF00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23</xdr:row>
      <xdr:rowOff>168274</xdr:rowOff>
    </xdr:from>
    <xdr:to>
      <xdr:col>22</xdr:col>
      <xdr:colOff>222886</xdr:colOff>
      <xdr:row>25</xdr:row>
      <xdr:rowOff>168909</xdr:rowOff>
    </xdr:to>
    <xdr:sp macro="" textlink="">
      <xdr:nvSpPr>
        <xdr:cNvPr id="80" name="Oval 79">
          <a:extLst>
            <a:ext uri="{FF2B5EF4-FFF2-40B4-BE49-F238E27FC236}">
              <a16:creationId xmlns:a16="http://schemas.microsoft.com/office/drawing/2014/main" id="{65A1B1D9-E493-4EE8-8F93-3EFC496E4BE9}"/>
            </a:ext>
          </a:extLst>
        </xdr:cNvPr>
        <xdr:cNvSpPr/>
      </xdr:nvSpPr>
      <xdr:spPr>
        <a:xfrm>
          <a:off x="13269913" y="4403724"/>
          <a:ext cx="364173" cy="368935"/>
        </a:xfrm>
        <a:prstGeom prst="ellipse">
          <a:avLst/>
        </a:prstGeom>
        <a:solidFill>
          <a:srgbClr val="00B0F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26</xdr:row>
      <xdr:rowOff>50800</xdr:rowOff>
    </xdr:from>
    <xdr:to>
      <xdr:col>22</xdr:col>
      <xdr:colOff>222886</xdr:colOff>
      <xdr:row>28</xdr:row>
      <xdr:rowOff>51435</xdr:rowOff>
    </xdr:to>
    <xdr:sp macro="" textlink="">
      <xdr:nvSpPr>
        <xdr:cNvPr id="81" name="Oval 80">
          <a:extLst>
            <a:ext uri="{FF2B5EF4-FFF2-40B4-BE49-F238E27FC236}">
              <a16:creationId xmlns:a16="http://schemas.microsoft.com/office/drawing/2014/main" id="{69B7D67F-CF68-409A-83C2-60C1DFA5BFCF}"/>
            </a:ext>
          </a:extLst>
        </xdr:cNvPr>
        <xdr:cNvSpPr/>
      </xdr:nvSpPr>
      <xdr:spPr>
        <a:xfrm>
          <a:off x="13269913" y="4838700"/>
          <a:ext cx="364173" cy="368935"/>
        </a:xfrm>
        <a:prstGeom prst="ellipse">
          <a:avLst/>
        </a:prstGeom>
        <a:solidFill>
          <a:srgbClr val="AD27FE"/>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28</xdr:row>
      <xdr:rowOff>115888</xdr:rowOff>
    </xdr:from>
    <xdr:to>
      <xdr:col>22</xdr:col>
      <xdr:colOff>222886</xdr:colOff>
      <xdr:row>30</xdr:row>
      <xdr:rowOff>116523</xdr:rowOff>
    </xdr:to>
    <xdr:sp macro="" textlink="">
      <xdr:nvSpPr>
        <xdr:cNvPr id="82" name="Oval 81">
          <a:extLst>
            <a:ext uri="{FF2B5EF4-FFF2-40B4-BE49-F238E27FC236}">
              <a16:creationId xmlns:a16="http://schemas.microsoft.com/office/drawing/2014/main" id="{39846F09-4D47-4DE7-BC0B-A5740265C968}"/>
            </a:ext>
          </a:extLst>
        </xdr:cNvPr>
        <xdr:cNvSpPr/>
      </xdr:nvSpPr>
      <xdr:spPr>
        <a:xfrm>
          <a:off x="13269913" y="5272088"/>
          <a:ext cx="364173" cy="368935"/>
        </a:xfrm>
        <a:prstGeom prst="ellipse">
          <a:avLst/>
        </a:prstGeom>
        <a:solidFill>
          <a:srgbClr val="3A5CE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30</xdr:row>
      <xdr:rowOff>180976</xdr:rowOff>
    </xdr:from>
    <xdr:to>
      <xdr:col>22</xdr:col>
      <xdr:colOff>222886</xdr:colOff>
      <xdr:row>32</xdr:row>
      <xdr:rowOff>181611</xdr:rowOff>
    </xdr:to>
    <xdr:sp macro="" textlink="">
      <xdr:nvSpPr>
        <xdr:cNvPr id="83" name="Oval 82">
          <a:extLst>
            <a:ext uri="{FF2B5EF4-FFF2-40B4-BE49-F238E27FC236}">
              <a16:creationId xmlns:a16="http://schemas.microsoft.com/office/drawing/2014/main" id="{358C1142-C884-4C55-BECC-CB7113E3DA61}"/>
            </a:ext>
          </a:extLst>
        </xdr:cNvPr>
        <xdr:cNvSpPr/>
      </xdr:nvSpPr>
      <xdr:spPr>
        <a:xfrm>
          <a:off x="13269913" y="5705476"/>
          <a:ext cx="364173" cy="368935"/>
        </a:xfrm>
        <a:prstGeom prst="ellipse">
          <a:avLst/>
        </a:prstGeom>
        <a:solidFill>
          <a:srgbClr val="8D76FC"/>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33</xdr:row>
      <xdr:rowOff>63499</xdr:rowOff>
    </xdr:from>
    <xdr:to>
      <xdr:col>22</xdr:col>
      <xdr:colOff>222886</xdr:colOff>
      <xdr:row>35</xdr:row>
      <xdr:rowOff>64134</xdr:rowOff>
    </xdr:to>
    <xdr:sp macro="" textlink="">
      <xdr:nvSpPr>
        <xdr:cNvPr id="84" name="Oval 83">
          <a:extLst>
            <a:ext uri="{FF2B5EF4-FFF2-40B4-BE49-F238E27FC236}">
              <a16:creationId xmlns:a16="http://schemas.microsoft.com/office/drawing/2014/main" id="{A7FA85AF-FD73-48E5-B7C0-773297777E35}"/>
            </a:ext>
          </a:extLst>
        </xdr:cNvPr>
        <xdr:cNvSpPr/>
      </xdr:nvSpPr>
      <xdr:spPr>
        <a:xfrm>
          <a:off x="13269913" y="6140449"/>
          <a:ext cx="364173" cy="368935"/>
        </a:xfrm>
        <a:prstGeom prst="ellipse">
          <a:avLst/>
        </a:prstGeom>
        <a:solidFill>
          <a:srgbClr val="00206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500063</xdr:colOff>
      <xdr:row>21</xdr:row>
      <xdr:rowOff>126999</xdr:rowOff>
    </xdr:from>
    <xdr:to>
      <xdr:col>22</xdr:col>
      <xdr:colOff>201439</xdr:colOff>
      <xdr:row>23</xdr:row>
      <xdr:rowOff>36194</xdr:rowOff>
    </xdr:to>
    <xdr:pic>
      <xdr:nvPicPr>
        <xdr:cNvPr id="85" name="Graphic 84" descr="Treasure chest outline">
          <a:extLst>
            <a:ext uri="{FF2B5EF4-FFF2-40B4-BE49-F238E27FC236}">
              <a16:creationId xmlns:a16="http://schemas.microsoft.com/office/drawing/2014/main" id="{A167A65F-C6B4-4E69-B020-9395B0E2CEF3}"/>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3301663" y="3994149"/>
          <a:ext cx="310976" cy="277495"/>
        </a:xfrm>
        <a:prstGeom prst="rect">
          <a:avLst/>
        </a:prstGeom>
      </xdr:spPr>
    </xdr:pic>
    <xdr:clientData/>
  </xdr:twoCellAnchor>
  <xdr:twoCellAnchor editAs="oneCell">
    <xdr:from>
      <xdr:col>21</xdr:col>
      <xdr:colOff>497625</xdr:colOff>
      <xdr:row>24</xdr:row>
      <xdr:rowOff>37250</xdr:rowOff>
    </xdr:from>
    <xdr:to>
      <xdr:col>22</xdr:col>
      <xdr:colOff>160758</xdr:colOff>
      <xdr:row>25</xdr:row>
      <xdr:rowOff>129007</xdr:rowOff>
    </xdr:to>
    <xdr:pic>
      <xdr:nvPicPr>
        <xdr:cNvPr id="86" name="Graphic 85" descr="Bar graph with upward trend with solid fill">
          <a:extLst>
            <a:ext uri="{FF2B5EF4-FFF2-40B4-BE49-F238E27FC236}">
              <a16:creationId xmlns:a16="http://schemas.microsoft.com/office/drawing/2014/main" id="{08F1E2F7-E3C6-48A1-ABAD-E76ABE52042D}"/>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3299225" y="4456850"/>
          <a:ext cx="272733" cy="275907"/>
        </a:xfrm>
        <a:prstGeom prst="rect">
          <a:avLst/>
        </a:prstGeom>
      </xdr:spPr>
    </xdr:pic>
    <xdr:clientData/>
  </xdr:twoCellAnchor>
  <xdr:twoCellAnchor editAs="oneCell">
    <xdr:from>
      <xdr:col>21</xdr:col>
      <xdr:colOff>528319</xdr:colOff>
      <xdr:row>26</xdr:row>
      <xdr:rowOff>80085</xdr:rowOff>
    </xdr:from>
    <xdr:to>
      <xdr:col>22</xdr:col>
      <xdr:colOff>188381</xdr:colOff>
      <xdr:row>27</xdr:row>
      <xdr:rowOff>171842</xdr:rowOff>
    </xdr:to>
    <xdr:pic>
      <xdr:nvPicPr>
        <xdr:cNvPr id="87" name="Graphic 86" descr="Bar graph with downward trend with solid fill">
          <a:extLst>
            <a:ext uri="{FF2B5EF4-FFF2-40B4-BE49-F238E27FC236}">
              <a16:creationId xmlns:a16="http://schemas.microsoft.com/office/drawing/2014/main" id="{8989C39D-06DA-4266-9CAF-5DA92B0441D4}"/>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3329919" y="4867985"/>
          <a:ext cx="269662" cy="275907"/>
        </a:xfrm>
        <a:prstGeom prst="rect">
          <a:avLst/>
        </a:prstGeom>
      </xdr:spPr>
    </xdr:pic>
    <xdr:clientData/>
  </xdr:twoCellAnchor>
  <xdr:twoCellAnchor editAs="oneCell">
    <xdr:from>
      <xdr:col>21</xdr:col>
      <xdr:colOff>511388</xdr:colOff>
      <xdr:row>28</xdr:row>
      <xdr:rowOff>156069</xdr:rowOff>
    </xdr:from>
    <xdr:to>
      <xdr:col>22</xdr:col>
      <xdr:colOff>171189</xdr:colOff>
      <xdr:row>30</xdr:row>
      <xdr:rowOff>65264</xdr:rowOff>
    </xdr:to>
    <xdr:pic>
      <xdr:nvPicPr>
        <xdr:cNvPr id="88" name="Graphic 87" descr="Open hand with plant with solid fill">
          <a:extLst>
            <a:ext uri="{FF2B5EF4-FFF2-40B4-BE49-F238E27FC236}">
              <a16:creationId xmlns:a16="http://schemas.microsoft.com/office/drawing/2014/main" id="{2F359329-1DD3-4AD0-BDCB-D240CC67BC4E}"/>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3312988" y="5312269"/>
          <a:ext cx="269401" cy="277495"/>
        </a:xfrm>
        <a:prstGeom prst="rect">
          <a:avLst/>
        </a:prstGeom>
      </xdr:spPr>
    </xdr:pic>
    <xdr:clientData/>
  </xdr:twoCellAnchor>
  <xdr:twoCellAnchor>
    <xdr:from>
      <xdr:col>21</xdr:col>
      <xdr:colOff>505665</xdr:colOff>
      <xdr:row>31</xdr:row>
      <xdr:rowOff>40155</xdr:rowOff>
    </xdr:from>
    <xdr:to>
      <xdr:col>22</xdr:col>
      <xdr:colOff>168798</xdr:colOff>
      <xdr:row>32</xdr:row>
      <xdr:rowOff>131913</xdr:rowOff>
    </xdr:to>
    <xdr:sp macro="" textlink="">
      <xdr:nvSpPr>
        <xdr:cNvPr id="89" name="TextBox 88">
          <a:extLst>
            <a:ext uri="{FF2B5EF4-FFF2-40B4-BE49-F238E27FC236}">
              <a16:creationId xmlns:a16="http://schemas.microsoft.com/office/drawing/2014/main" id="{6260D843-3916-4F82-878C-14AE3AA33F4A}"/>
            </a:ext>
          </a:extLst>
        </xdr:cNvPr>
        <xdr:cNvSpPr txBox="1"/>
      </xdr:nvSpPr>
      <xdr:spPr>
        <a:xfrm>
          <a:off x="13307265" y="5748805"/>
          <a:ext cx="272733" cy="275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a:t>
          </a:r>
          <a:endParaRPr lang="en-US" sz="2400">
            <a:solidFill>
              <a:schemeClr val="bg1"/>
            </a:solidFill>
          </a:endParaRPr>
        </a:p>
      </xdr:txBody>
    </xdr:sp>
    <xdr:clientData/>
  </xdr:twoCellAnchor>
  <xdr:twoCellAnchor editAs="oneCell">
    <xdr:from>
      <xdr:col>21</xdr:col>
      <xdr:colOff>521542</xdr:colOff>
      <xdr:row>33</xdr:row>
      <xdr:rowOff>109723</xdr:rowOff>
    </xdr:from>
    <xdr:to>
      <xdr:col>22</xdr:col>
      <xdr:colOff>186371</xdr:colOff>
      <xdr:row>35</xdr:row>
      <xdr:rowOff>18918</xdr:rowOff>
    </xdr:to>
    <xdr:pic>
      <xdr:nvPicPr>
        <xdr:cNvPr id="90" name="Graphic 89" descr="Bullseye with solid fill">
          <a:extLst>
            <a:ext uri="{FF2B5EF4-FFF2-40B4-BE49-F238E27FC236}">
              <a16:creationId xmlns:a16="http://schemas.microsoft.com/office/drawing/2014/main" id="{DFC8CCE5-EC44-444E-B523-82011F36DA3E}"/>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3323142" y="6186673"/>
          <a:ext cx="274429" cy="277495"/>
        </a:xfrm>
        <a:prstGeom prst="rect">
          <a:avLst/>
        </a:prstGeom>
      </xdr:spPr>
    </xdr:pic>
    <xdr:clientData/>
  </xdr:twoCellAnchor>
  <xdr:twoCellAnchor>
    <xdr:from>
      <xdr:col>4</xdr:col>
      <xdr:colOff>575469</xdr:colOff>
      <xdr:row>17</xdr:row>
      <xdr:rowOff>140460</xdr:rowOff>
    </xdr:from>
    <xdr:to>
      <xdr:col>6</xdr:col>
      <xdr:colOff>382323</xdr:colOff>
      <xdr:row>20</xdr:row>
      <xdr:rowOff>53145</xdr:rowOff>
    </xdr:to>
    <xdr:sp macro="" textlink="">
      <xdr:nvSpPr>
        <xdr:cNvPr id="91" name="TextBox 90">
          <a:extLst>
            <a:ext uri="{FF2B5EF4-FFF2-40B4-BE49-F238E27FC236}">
              <a16:creationId xmlns:a16="http://schemas.microsoft.com/office/drawing/2014/main" id="{4EBB06B1-B651-4DFA-BBCA-8ECD09826BD8}"/>
            </a:ext>
          </a:extLst>
        </xdr:cNvPr>
        <xdr:cNvSpPr txBox="1"/>
      </xdr:nvSpPr>
      <xdr:spPr>
        <a:xfrm>
          <a:off x="3013869" y="3271010"/>
          <a:ext cx="1026054" cy="46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372A4"/>
              </a:solidFill>
            </a:rPr>
            <a:t>Income</a:t>
          </a:r>
          <a:endParaRPr lang="en-US" sz="1100">
            <a:solidFill>
              <a:srgbClr val="6372A4"/>
            </a:solidFill>
          </a:endParaRPr>
        </a:p>
      </xdr:txBody>
    </xdr:sp>
    <xdr:clientData/>
  </xdr:twoCellAnchor>
  <xdr:twoCellAnchor>
    <xdr:from>
      <xdr:col>5</xdr:col>
      <xdr:colOff>51594</xdr:colOff>
      <xdr:row>22</xdr:row>
      <xdr:rowOff>63202</xdr:rowOff>
    </xdr:from>
    <xdr:to>
      <xdr:col>6</xdr:col>
      <xdr:colOff>443178</xdr:colOff>
      <xdr:row>24</xdr:row>
      <xdr:rowOff>87016</xdr:rowOff>
    </xdr:to>
    <xdr:sp macro="" textlink="">
      <xdr:nvSpPr>
        <xdr:cNvPr id="92" name="TextBox 91">
          <a:extLst>
            <a:ext uri="{FF2B5EF4-FFF2-40B4-BE49-F238E27FC236}">
              <a16:creationId xmlns:a16="http://schemas.microsoft.com/office/drawing/2014/main" id="{5B2D438C-400A-496D-8796-21D0E8BFC2E3}"/>
            </a:ext>
          </a:extLst>
        </xdr:cNvPr>
        <xdr:cNvSpPr txBox="1"/>
      </xdr:nvSpPr>
      <xdr:spPr>
        <a:xfrm>
          <a:off x="3099594" y="4114502"/>
          <a:ext cx="1001184" cy="392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Expensev</a:t>
          </a:r>
        </a:p>
      </xdr:txBody>
    </xdr:sp>
    <xdr:clientData/>
  </xdr:twoCellAnchor>
  <xdr:twoCellAnchor>
    <xdr:from>
      <xdr:col>5</xdr:col>
      <xdr:colOff>185207</xdr:colOff>
      <xdr:row>28</xdr:row>
      <xdr:rowOff>146045</xdr:rowOff>
    </xdr:from>
    <xdr:to>
      <xdr:col>6</xdr:col>
      <xdr:colOff>552979</xdr:colOff>
      <xdr:row>30</xdr:row>
      <xdr:rowOff>53441</xdr:rowOff>
    </xdr:to>
    <xdr:sp macro="" textlink="">
      <xdr:nvSpPr>
        <xdr:cNvPr id="93" name="TextBox 92">
          <a:extLst>
            <a:ext uri="{FF2B5EF4-FFF2-40B4-BE49-F238E27FC236}">
              <a16:creationId xmlns:a16="http://schemas.microsoft.com/office/drawing/2014/main" id="{CA499878-05B9-466E-83F0-92CF323EE424}"/>
            </a:ext>
          </a:extLst>
        </xdr:cNvPr>
        <xdr:cNvSpPr txBox="1"/>
      </xdr:nvSpPr>
      <xdr:spPr>
        <a:xfrm>
          <a:off x="3233207" y="5302245"/>
          <a:ext cx="977372" cy="275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Debts</a:t>
          </a:r>
          <a:endParaRPr lang="en-US" sz="1100">
            <a:solidFill>
              <a:srgbClr val="6372A4"/>
            </a:solidFill>
          </a:endParaRPr>
        </a:p>
        <a:p>
          <a:endParaRPr lang="en-US" sz="1100"/>
        </a:p>
      </xdr:txBody>
    </xdr:sp>
    <xdr:clientData/>
  </xdr:twoCellAnchor>
  <xdr:twoCellAnchor>
    <xdr:from>
      <xdr:col>5</xdr:col>
      <xdr:colOff>43656</xdr:colOff>
      <xdr:row>33</xdr:row>
      <xdr:rowOff>13230</xdr:rowOff>
    </xdr:from>
    <xdr:to>
      <xdr:col>6</xdr:col>
      <xdr:colOff>353219</xdr:colOff>
      <xdr:row>36</xdr:row>
      <xdr:rowOff>52918</xdr:rowOff>
    </xdr:to>
    <xdr:sp macro="" textlink="">
      <xdr:nvSpPr>
        <xdr:cNvPr id="94" name="TextBox 93">
          <a:extLst>
            <a:ext uri="{FF2B5EF4-FFF2-40B4-BE49-F238E27FC236}">
              <a16:creationId xmlns:a16="http://schemas.microsoft.com/office/drawing/2014/main" id="{E2B1BB2F-83B6-442E-AB81-E3BAB257F270}"/>
            </a:ext>
          </a:extLst>
        </xdr:cNvPr>
        <xdr:cNvSpPr txBox="1"/>
      </xdr:nvSpPr>
      <xdr:spPr>
        <a:xfrm>
          <a:off x="3091656" y="6090180"/>
          <a:ext cx="919163" cy="59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Fin Goals</a:t>
          </a:r>
        </a:p>
      </xdr:txBody>
    </xdr:sp>
    <xdr:clientData/>
  </xdr:twoCellAnchor>
  <xdr:twoCellAnchor>
    <xdr:from>
      <xdr:col>4</xdr:col>
      <xdr:colOff>598583</xdr:colOff>
      <xdr:row>26</xdr:row>
      <xdr:rowOff>9761</xdr:rowOff>
    </xdr:from>
    <xdr:to>
      <xdr:col>6</xdr:col>
      <xdr:colOff>345983</xdr:colOff>
      <xdr:row>28</xdr:row>
      <xdr:rowOff>24861</xdr:rowOff>
    </xdr:to>
    <xdr:sp macro="" textlink="">
      <xdr:nvSpPr>
        <xdr:cNvPr id="95" name="TextBox 94">
          <a:extLst>
            <a:ext uri="{FF2B5EF4-FFF2-40B4-BE49-F238E27FC236}">
              <a16:creationId xmlns:a16="http://schemas.microsoft.com/office/drawing/2014/main" id="{D3368109-AC07-4B96-A541-BFE4256DE110}"/>
            </a:ext>
          </a:extLst>
        </xdr:cNvPr>
        <xdr:cNvSpPr txBox="1"/>
      </xdr:nvSpPr>
      <xdr:spPr>
        <a:xfrm>
          <a:off x="3036983" y="4797661"/>
          <a:ext cx="966600" cy="38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6372A4"/>
              </a:solidFill>
            </a:rPr>
            <a:t>Investmants</a:t>
          </a:r>
        </a:p>
      </xdr:txBody>
    </xdr:sp>
    <xdr:clientData/>
  </xdr:twoCellAnchor>
  <xdr:twoCellAnchor>
    <xdr:from>
      <xdr:col>22</xdr:col>
      <xdr:colOff>259293</xdr:colOff>
      <xdr:row>21</xdr:row>
      <xdr:rowOff>117929</xdr:rowOff>
    </xdr:from>
    <xdr:to>
      <xdr:col>23</xdr:col>
      <xdr:colOff>571499</xdr:colOff>
      <xdr:row>23</xdr:row>
      <xdr:rowOff>74082</xdr:rowOff>
    </xdr:to>
    <xdr:sp macro="" textlink="Processing!A16">
      <xdr:nvSpPr>
        <xdr:cNvPr id="97" name="TextBox 96">
          <a:extLst>
            <a:ext uri="{FF2B5EF4-FFF2-40B4-BE49-F238E27FC236}">
              <a16:creationId xmlns:a16="http://schemas.microsoft.com/office/drawing/2014/main" id="{C0F5458C-450C-42B5-B794-CEA37E7EC685}"/>
            </a:ext>
          </a:extLst>
        </xdr:cNvPr>
        <xdr:cNvSpPr txBox="1"/>
      </xdr:nvSpPr>
      <xdr:spPr>
        <a:xfrm>
          <a:off x="13670493" y="3985079"/>
          <a:ext cx="921806" cy="324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a:solidFill>
                <a:srgbClr val="6372A4"/>
              </a:solidFill>
              <a:latin typeface="Aptos Narrow"/>
              <a:ea typeface="+mn-ea"/>
              <a:cs typeface="+mn-cs"/>
            </a:rPr>
            <a:t>Budegting</a:t>
          </a:r>
        </a:p>
      </xdr:txBody>
    </xdr:sp>
    <xdr:clientData/>
  </xdr:twoCellAnchor>
  <xdr:twoCellAnchor>
    <xdr:from>
      <xdr:col>23</xdr:col>
      <xdr:colOff>536730</xdr:colOff>
      <xdr:row>21</xdr:row>
      <xdr:rowOff>122253</xdr:rowOff>
    </xdr:from>
    <xdr:to>
      <xdr:col>25</xdr:col>
      <xdr:colOff>303894</xdr:colOff>
      <xdr:row>23</xdr:row>
      <xdr:rowOff>117172</xdr:rowOff>
    </xdr:to>
    <xdr:sp macro="" textlink="Processing!B16">
      <xdr:nvSpPr>
        <xdr:cNvPr id="98" name="TextBox 97">
          <a:extLst>
            <a:ext uri="{FF2B5EF4-FFF2-40B4-BE49-F238E27FC236}">
              <a16:creationId xmlns:a16="http://schemas.microsoft.com/office/drawing/2014/main" id="{5FE951C4-F045-4CCA-9E96-9B3317CD0824}"/>
            </a:ext>
          </a:extLst>
        </xdr:cNvPr>
        <xdr:cNvSpPr txBox="1"/>
      </xdr:nvSpPr>
      <xdr:spPr>
        <a:xfrm>
          <a:off x="14557530" y="3989403"/>
          <a:ext cx="986364"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C9D3E8D-52D8-4F2C-8048-765B1CA0816D}" type="TxLink">
            <a:rPr lang="en-US" sz="1400" b="0" i="0" u="none" strike="noStrike">
              <a:solidFill>
                <a:schemeClr val="tx2">
                  <a:lumMod val="25000"/>
                  <a:lumOff val="75000"/>
                </a:schemeClr>
              </a:solidFill>
              <a:latin typeface="Aptos Narrow"/>
            </a:rPr>
            <a:pPr algn="l"/>
            <a:t>$281,096</a:t>
          </a:fld>
          <a:endParaRPr lang="en-US" sz="1600" b="1" i="1">
            <a:solidFill>
              <a:schemeClr val="tx2">
                <a:lumMod val="25000"/>
                <a:lumOff val="75000"/>
              </a:schemeClr>
            </a:solidFill>
          </a:endParaRPr>
        </a:p>
      </xdr:txBody>
    </xdr:sp>
    <xdr:clientData/>
  </xdr:twoCellAnchor>
  <xdr:twoCellAnchor>
    <xdr:from>
      <xdr:col>23</xdr:col>
      <xdr:colOff>501617</xdr:colOff>
      <xdr:row>24</xdr:row>
      <xdr:rowOff>4953</xdr:rowOff>
    </xdr:from>
    <xdr:to>
      <xdr:col>25</xdr:col>
      <xdr:colOff>33304</xdr:colOff>
      <xdr:row>25</xdr:row>
      <xdr:rowOff>181301</xdr:rowOff>
    </xdr:to>
    <xdr:sp macro="" textlink="Processing!D14">
      <xdr:nvSpPr>
        <xdr:cNvPr id="99" name="TextBox 98">
          <a:extLst>
            <a:ext uri="{FF2B5EF4-FFF2-40B4-BE49-F238E27FC236}">
              <a16:creationId xmlns:a16="http://schemas.microsoft.com/office/drawing/2014/main" id="{E77367DF-AB83-4766-98FF-12978F70BA16}"/>
            </a:ext>
          </a:extLst>
        </xdr:cNvPr>
        <xdr:cNvSpPr txBox="1"/>
      </xdr:nvSpPr>
      <xdr:spPr>
        <a:xfrm>
          <a:off x="14522417" y="4424553"/>
          <a:ext cx="750887" cy="360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BCFE1B3-8319-4848-AD16-7195E0564B31}" type="TxLink">
            <a:rPr lang="en-US" sz="1400" b="0" i="0" u="none" strike="noStrike">
              <a:solidFill>
                <a:schemeClr val="tx2">
                  <a:lumMod val="25000"/>
                  <a:lumOff val="75000"/>
                </a:schemeClr>
              </a:solidFill>
              <a:latin typeface="Aptos Narrow"/>
            </a:rPr>
            <a:pPr algn="r"/>
            <a:t>$17,800</a:t>
          </a:fld>
          <a:endParaRPr lang="en-US" sz="1600" b="1" i="1">
            <a:solidFill>
              <a:schemeClr val="tx2">
                <a:lumMod val="25000"/>
                <a:lumOff val="75000"/>
              </a:schemeClr>
            </a:solidFill>
          </a:endParaRPr>
        </a:p>
      </xdr:txBody>
    </xdr:sp>
    <xdr:clientData/>
  </xdr:twoCellAnchor>
  <xdr:twoCellAnchor>
    <xdr:from>
      <xdr:col>23</xdr:col>
      <xdr:colOff>565457</xdr:colOff>
      <xdr:row>28</xdr:row>
      <xdr:rowOff>145142</xdr:rowOff>
    </xdr:from>
    <xdr:to>
      <xdr:col>25</xdr:col>
      <xdr:colOff>81643</xdr:colOff>
      <xdr:row>30</xdr:row>
      <xdr:rowOff>136448</xdr:rowOff>
    </xdr:to>
    <xdr:sp macro="" textlink="Processing!H24">
      <xdr:nvSpPr>
        <xdr:cNvPr id="100" name="TextBox 99">
          <a:extLst>
            <a:ext uri="{FF2B5EF4-FFF2-40B4-BE49-F238E27FC236}">
              <a16:creationId xmlns:a16="http://schemas.microsoft.com/office/drawing/2014/main" id="{7785277E-E6DA-40F3-A503-9320070A5E9E}"/>
            </a:ext>
          </a:extLst>
        </xdr:cNvPr>
        <xdr:cNvSpPr txBox="1"/>
      </xdr:nvSpPr>
      <xdr:spPr>
        <a:xfrm>
          <a:off x="14586257" y="5301342"/>
          <a:ext cx="735386" cy="359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14A13A3-2F80-4D92-BA43-F3C4056C2E86}" type="TxLink">
            <a:rPr lang="en-US" sz="1400" b="0" i="0" u="none" strike="noStrike">
              <a:solidFill>
                <a:schemeClr val="tx2">
                  <a:lumMod val="25000"/>
                  <a:lumOff val="75000"/>
                </a:schemeClr>
              </a:solidFill>
              <a:latin typeface="Aptos Narrow"/>
              <a:ea typeface="+mn-ea"/>
              <a:cs typeface="+mn-cs"/>
            </a:rPr>
            <a:pPr marL="0" indent="0" algn="l"/>
            <a:t>$121</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7</xdr:col>
      <xdr:colOff>365126</xdr:colOff>
      <xdr:row>8</xdr:row>
      <xdr:rowOff>86178</xdr:rowOff>
    </xdr:from>
    <xdr:to>
      <xdr:col>10</xdr:col>
      <xdr:colOff>190500</xdr:colOff>
      <xdr:row>10</xdr:row>
      <xdr:rowOff>63499</xdr:rowOff>
    </xdr:to>
    <xdr:sp macro="" textlink="Processing!A16">
      <xdr:nvSpPr>
        <xdr:cNvPr id="105" name="TextBox 104">
          <a:extLst>
            <a:ext uri="{FF2B5EF4-FFF2-40B4-BE49-F238E27FC236}">
              <a16:creationId xmlns:a16="http://schemas.microsoft.com/office/drawing/2014/main" id="{CA5FECDC-148C-1ADA-F7C3-204350BAA861}"/>
            </a:ext>
          </a:extLst>
        </xdr:cNvPr>
        <xdr:cNvSpPr txBox="1"/>
      </xdr:nvSpPr>
      <xdr:spPr>
        <a:xfrm>
          <a:off x="4661959" y="1525511"/>
          <a:ext cx="1666874" cy="337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400" b="1" i="1" u="none" strike="noStrike">
              <a:solidFill>
                <a:srgbClr val="6372A4"/>
              </a:solidFill>
              <a:latin typeface="Aptos Narrow"/>
              <a:ea typeface="+mn-ea"/>
              <a:cs typeface="+mn-cs"/>
            </a:rPr>
            <a:t>Budegting</a:t>
          </a:r>
        </a:p>
      </xdr:txBody>
    </xdr:sp>
    <xdr:clientData/>
  </xdr:twoCellAnchor>
  <xdr:twoCellAnchor>
    <xdr:from>
      <xdr:col>5</xdr:col>
      <xdr:colOff>37042</xdr:colOff>
      <xdr:row>14</xdr:row>
      <xdr:rowOff>22679</xdr:rowOff>
    </xdr:from>
    <xdr:to>
      <xdr:col>6</xdr:col>
      <xdr:colOff>349249</xdr:colOff>
      <xdr:row>15</xdr:row>
      <xdr:rowOff>158748</xdr:rowOff>
    </xdr:to>
    <xdr:sp macro="" textlink="Processing!A16">
      <xdr:nvSpPr>
        <xdr:cNvPr id="106" name="TextBox 105">
          <a:extLst>
            <a:ext uri="{FF2B5EF4-FFF2-40B4-BE49-F238E27FC236}">
              <a16:creationId xmlns:a16="http://schemas.microsoft.com/office/drawing/2014/main" id="{047A7130-5EF7-6ECA-F735-A08C69027B10}"/>
            </a:ext>
          </a:extLst>
        </xdr:cNvPr>
        <xdr:cNvSpPr txBox="1"/>
      </xdr:nvSpPr>
      <xdr:spPr>
        <a:xfrm>
          <a:off x="3106209" y="2541512"/>
          <a:ext cx="926040" cy="315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a:solidFill>
                <a:srgbClr val="6372A4"/>
              </a:solidFill>
              <a:latin typeface="Aptos Narrow"/>
              <a:ea typeface="+mn-ea"/>
              <a:cs typeface="+mn-cs"/>
            </a:rPr>
            <a:t>Budegting</a:t>
          </a:r>
        </a:p>
      </xdr:txBody>
    </xdr:sp>
    <xdr:clientData/>
  </xdr:twoCellAnchor>
  <xdr:twoCellAnchor>
    <xdr:from>
      <xdr:col>12</xdr:col>
      <xdr:colOff>539749</xdr:colOff>
      <xdr:row>17</xdr:row>
      <xdr:rowOff>169334</xdr:rowOff>
    </xdr:from>
    <xdr:to>
      <xdr:col>20</xdr:col>
      <xdr:colOff>243415</xdr:colOff>
      <xdr:row>35</xdr:row>
      <xdr:rowOff>42333</xdr:rowOff>
    </xdr:to>
    <xdr:graphicFrame macro="">
      <xdr:nvGraphicFramePr>
        <xdr:cNvPr id="109" name="Chart 108">
          <a:extLst>
            <a:ext uri="{FF2B5EF4-FFF2-40B4-BE49-F238E27FC236}">
              <a16:creationId xmlns:a16="http://schemas.microsoft.com/office/drawing/2014/main" id="{BF5D0F9D-29C1-449D-A6A2-0445FE105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15</xdr:col>
      <xdr:colOff>179920</xdr:colOff>
      <xdr:row>18</xdr:row>
      <xdr:rowOff>54428</xdr:rowOff>
    </xdr:from>
    <xdr:to>
      <xdr:col>17</xdr:col>
      <xdr:colOff>423332</xdr:colOff>
      <xdr:row>20</xdr:row>
      <xdr:rowOff>112849</xdr:rowOff>
    </xdr:to>
    <xdr:sp macro="" textlink="Processing!A27">
      <xdr:nvSpPr>
        <xdr:cNvPr id="110" name="TextBox 109">
          <a:extLst>
            <a:ext uri="{FF2B5EF4-FFF2-40B4-BE49-F238E27FC236}">
              <a16:creationId xmlns:a16="http://schemas.microsoft.com/office/drawing/2014/main" id="{7B8196CA-08C7-DDDA-13C8-2704CD0AA082}"/>
            </a:ext>
          </a:extLst>
        </xdr:cNvPr>
        <xdr:cNvSpPr txBox="1"/>
      </xdr:nvSpPr>
      <xdr:spPr>
        <a:xfrm>
          <a:off x="9387420" y="3292928"/>
          <a:ext cx="1471079" cy="418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D247EFB-79A0-421D-B982-BE30A4531A76}" type="TxLink">
            <a:rPr lang="en-US" sz="2000" b="0" i="0" u="none" strike="noStrike">
              <a:solidFill>
                <a:schemeClr val="tx2">
                  <a:lumMod val="25000"/>
                  <a:lumOff val="75000"/>
                </a:schemeClr>
              </a:solidFill>
              <a:latin typeface="Aptos Narrow"/>
            </a:rPr>
            <a:pPr algn="l"/>
            <a:t>$18,904</a:t>
          </a:fld>
          <a:endParaRPr lang="en-US" sz="4400" b="1" i="1">
            <a:solidFill>
              <a:schemeClr val="tx2">
                <a:lumMod val="25000"/>
                <a:lumOff val="75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511509</xdr:colOff>
      <xdr:row>0</xdr:row>
      <xdr:rowOff>0</xdr:rowOff>
    </xdr:from>
    <xdr:to>
      <xdr:col>26</xdr:col>
      <xdr:colOff>299961</xdr:colOff>
      <xdr:row>39</xdr:row>
      <xdr:rowOff>133350</xdr:rowOff>
    </xdr:to>
    <xdr:sp macro="" textlink="">
      <xdr:nvSpPr>
        <xdr:cNvPr id="2" name="MyDachbord">
          <a:extLst>
            <a:ext uri="{FF2B5EF4-FFF2-40B4-BE49-F238E27FC236}">
              <a16:creationId xmlns:a16="http://schemas.microsoft.com/office/drawing/2014/main" id="{7868BB2F-98D0-4188-98F1-03ABF763B7DA}"/>
            </a:ext>
          </a:extLst>
        </xdr:cNvPr>
        <xdr:cNvSpPr/>
      </xdr:nvSpPr>
      <xdr:spPr>
        <a:xfrm>
          <a:off x="2340309" y="0"/>
          <a:ext cx="13809252" cy="7315200"/>
        </a:xfrm>
        <a:prstGeom prst="roundRect">
          <a:avLst>
            <a:gd name="adj" fmla="val 6771"/>
          </a:avLst>
        </a:prstGeom>
        <a:gradFill flip="none" rotWithShape="1">
          <a:gsLst>
            <a:gs pos="0">
              <a:srgbClr val="1F2357"/>
            </a:gs>
            <a:gs pos="75000">
              <a:srgbClr val="10123B"/>
            </a:gs>
          </a:gsLst>
          <a:lin ang="8100000" scaled="1"/>
          <a:tileRect/>
        </a:gradFill>
        <a:ln w="9525">
          <a:gradFill flip="none" rotWithShape="1">
            <a:gsLst>
              <a:gs pos="0">
                <a:srgbClr val="10123B"/>
              </a:gs>
              <a:gs pos="100000">
                <a:srgbClr val="333787"/>
              </a:gs>
            </a:gsLst>
            <a:lin ang="8100000" scaled="1"/>
            <a:tileRect/>
          </a:gradFill>
        </a:ln>
        <a:effectLst>
          <a:outerShdw blurRad="444500" dist="2032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115285</xdr:colOff>
      <xdr:row>1</xdr:row>
      <xdr:rowOff>73902</xdr:rowOff>
    </xdr:from>
    <xdr:to>
      <xdr:col>25</xdr:col>
      <xdr:colOff>485277</xdr:colOff>
      <xdr:row>37</xdr:row>
      <xdr:rowOff>116522</xdr:rowOff>
    </xdr:to>
    <xdr:sp macro="" textlink="">
      <xdr:nvSpPr>
        <xdr:cNvPr id="3" name="MyDashboard">
          <a:extLst>
            <a:ext uri="{FF2B5EF4-FFF2-40B4-BE49-F238E27FC236}">
              <a16:creationId xmlns:a16="http://schemas.microsoft.com/office/drawing/2014/main" id="{5F3A1B9F-9A17-4A46-9B94-2C2195B35896}"/>
            </a:ext>
          </a:extLst>
        </xdr:cNvPr>
        <xdr:cNvSpPr/>
      </xdr:nvSpPr>
      <xdr:spPr>
        <a:xfrm>
          <a:off x="2570618" y="253819"/>
          <a:ext cx="13260492" cy="6519620"/>
        </a:xfrm>
        <a:prstGeom prst="roundRect">
          <a:avLst>
            <a:gd name="adj" fmla="val 8581"/>
          </a:avLst>
        </a:prstGeom>
        <a:gradFill flip="none" rotWithShape="1">
          <a:gsLst>
            <a:gs pos="0">
              <a:srgbClr val="20245A"/>
            </a:gs>
            <a:gs pos="75000">
              <a:srgbClr val="10123B"/>
            </a:gs>
          </a:gsLst>
          <a:lin ang="8100000" scaled="1"/>
          <a:tileRect/>
        </a:gradFill>
        <a:ln w="9525">
          <a:gradFill flip="none" rotWithShape="1">
            <a:gsLst>
              <a:gs pos="0">
                <a:srgbClr val="10123B"/>
              </a:gs>
              <a:gs pos="100000">
                <a:srgbClr val="333787"/>
              </a:gs>
            </a:gsLst>
            <a:lin ang="8100000" scaled="1"/>
            <a:tileRect/>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501950</xdr:colOff>
      <xdr:row>6</xdr:row>
      <xdr:rowOff>152216</xdr:rowOff>
    </xdr:from>
    <xdr:to>
      <xdr:col>6</xdr:col>
      <xdr:colOff>572966</xdr:colOff>
      <xdr:row>35</xdr:row>
      <xdr:rowOff>76333</xdr:rowOff>
    </xdr:to>
    <xdr:sp macro="" textlink="">
      <xdr:nvSpPr>
        <xdr:cNvPr id="4" name="Rectangle: Rounded Corners 3">
          <a:extLst>
            <a:ext uri="{FF2B5EF4-FFF2-40B4-BE49-F238E27FC236}">
              <a16:creationId xmlns:a16="http://schemas.microsoft.com/office/drawing/2014/main" id="{49C646C1-573D-454D-A336-022FCA973C76}"/>
            </a:ext>
          </a:extLst>
        </xdr:cNvPr>
        <xdr:cNvSpPr/>
      </xdr:nvSpPr>
      <xdr:spPr>
        <a:xfrm>
          <a:off x="2940350" y="1257116"/>
          <a:ext cx="1290216" cy="5264467"/>
        </a:xfrm>
        <a:prstGeom prst="roundRect">
          <a:avLst>
            <a:gd name="adj" fmla="val 12947"/>
          </a:avLst>
        </a:prstGeom>
        <a:gradFill>
          <a:gsLst>
            <a:gs pos="0">
              <a:srgbClr val="323687"/>
            </a:gs>
            <a:gs pos="41000">
              <a:srgbClr val="181A3C"/>
            </a:gs>
          </a:gsLst>
          <a:lin ang="7800000" scaled="0"/>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xdr:txBody>
    </xdr:sp>
    <xdr:clientData/>
  </xdr:twoCellAnchor>
  <xdr:twoCellAnchor>
    <xdr:from>
      <xdr:col>6</xdr:col>
      <xdr:colOff>606727</xdr:colOff>
      <xdr:row>3</xdr:row>
      <xdr:rowOff>32201</xdr:rowOff>
    </xdr:from>
    <xdr:to>
      <xdr:col>25</xdr:col>
      <xdr:colOff>204984</xdr:colOff>
      <xdr:row>5</xdr:row>
      <xdr:rowOff>108401</xdr:rowOff>
    </xdr:to>
    <xdr:sp macro="" textlink="">
      <xdr:nvSpPr>
        <xdr:cNvPr id="5" name="Rectangle: Rounded Corners 4">
          <a:extLst>
            <a:ext uri="{FF2B5EF4-FFF2-40B4-BE49-F238E27FC236}">
              <a16:creationId xmlns:a16="http://schemas.microsoft.com/office/drawing/2014/main" id="{8FBE0B29-6450-44D0-BF03-C867BF4F0E0F}"/>
            </a:ext>
          </a:extLst>
        </xdr:cNvPr>
        <xdr:cNvSpPr/>
      </xdr:nvSpPr>
      <xdr:spPr>
        <a:xfrm>
          <a:off x="4264327" y="584651"/>
          <a:ext cx="11180657" cy="444500"/>
        </a:xfrm>
        <a:prstGeom prst="roundRect">
          <a:avLst>
            <a:gd name="adj" fmla="val 38854"/>
          </a:avLst>
        </a:prstGeom>
        <a:gradFill>
          <a:gsLst>
            <a:gs pos="87935">
              <a:srgbClr val="1B1D45"/>
            </a:gs>
            <a:gs pos="20100">
              <a:srgbClr val="2D3078"/>
            </a:gs>
            <a:gs pos="0">
              <a:srgbClr val="323687"/>
            </a:gs>
            <a:gs pos="100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223764</xdr:colOff>
      <xdr:row>7</xdr:row>
      <xdr:rowOff>54880</xdr:rowOff>
    </xdr:from>
    <xdr:to>
      <xdr:col>25</xdr:col>
      <xdr:colOff>371084</xdr:colOff>
      <xdr:row>19</xdr:row>
      <xdr:rowOff>54879</xdr:rowOff>
    </xdr:to>
    <xdr:sp macro="" textlink="">
      <xdr:nvSpPr>
        <xdr:cNvPr id="8" name="Rectangle: Rounded Corners 7">
          <a:extLst>
            <a:ext uri="{FF2B5EF4-FFF2-40B4-BE49-F238E27FC236}">
              <a16:creationId xmlns:a16="http://schemas.microsoft.com/office/drawing/2014/main" id="{CE919668-B87A-4E55-9A66-F31A9AC6C382}"/>
            </a:ext>
          </a:extLst>
        </xdr:cNvPr>
        <xdr:cNvSpPr/>
      </xdr:nvSpPr>
      <xdr:spPr>
        <a:xfrm>
          <a:off x="13114264" y="1314297"/>
          <a:ext cx="2602653" cy="2158999"/>
        </a:xfrm>
        <a:prstGeom prst="roundRect">
          <a:avLst>
            <a:gd name="adj" fmla="val 11111"/>
          </a:avLst>
        </a:prstGeom>
        <a:gradFill>
          <a:gsLst>
            <a:gs pos="0">
              <a:srgbClr val="323687"/>
            </a:gs>
            <a:gs pos="80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226256</xdr:colOff>
      <xdr:row>20</xdr:row>
      <xdr:rowOff>151900</xdr:rowOff>
    </xdr:from>
    <xdr:to>
      <xdr:col>25</xdr:col>
      <xdr:colOff>384159</xdr:colOff>
      <xdr:row>35</xdr:row>
      <xdr:rowOff>174759</xdr:rowOff>
    </xdr:to>
    <xdr:sp macro="" textlink="">
      <xdr:nvSpPr>
        <xdr:cNvPr id="11" name="Rectangle: Rounded Corners 10">
          <a:extLst>
            <a:ext uri="{FF2B5EF4-FFF2-40B4-BE49-F238E27FC236}">
              <a16:creationId xmlns:a16="http://schemas.microsoft.com/office/drawing/2014/main" id="{B50B23F2-C883-4077-AFCC-15D8451A41D5}"/>
            </a:ext>
          </a:extLst>
        </xdr:cNvPr>
        <xdr:cNvSpPr/>
      </xdr:nvSpPr>
      <xdr:spPr>
        <a:xfrm>
          <a:off x="13027856" y="3834900"/>
          <a:ext cx="2596303" cy="2785109"/>
        </a:xfrm>
        <a:prstGeom prst="roundRect">
          <a:avLst>
            <a:gd name="adj" fmla="val 13567"/>
          </a:avLst>
        </a:prstGeom>
        <a:gradFill>
          <a:gsLst>
            <a:gs pos="0">
              <a:srgbClr val="323687"/>
            </a:gs>
            <a:gs pos="74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182687</xdr:colOff>
      <xdr:row>7</xdr:row>
      <xdr:rowOff>63499</xdr:rowOff>
    </xdr:from>
    <xdr:to>
      <xdr:col>20</xdr:col>
      <xdr:colOff>550332</xdr:colOff>
      <xdr:row>34</xdr:row>
      <xdr:rowOff>10582</xdr:rowOff>
    </xdr:to>
    <xdr:sp macro="" textlink="">
      <xdr:nvSpPr>
        <xdr:cNvPr id="12" name="Rectangle: Rounded Corners 11">
          <a:extLst>
            <a:ext uri="{FF2B5EF4-FFF2-40B4-BE49-F238E27FC236}">
              <a16:creationId xmlns:a16="http://schemas.microsoft.com/office/drawing/2014/main" id="{3F9697D1-2A41-46FD-B38E-DB4DBFC86BC9}"/>
            </a:ext>
          </a:extLst>
        </xdr:cNvPr>
        <xdr:cNvSpPr/>
      </xdr:nvSpPr>
      <xdr:spPr>
        <a:xfrm>
          <a:off x="4479520" y="1322916"/>
          <a:ext cx="8347479" cy="4804833"/>
        </a:xfrm>
        <a:prstGeom prst="roundRect">
          <a:avLst>
            <a:gd name="adj" fmla="val 10771"/>
          </a:avLst>
        </a:prstGeom>
        <a:gradFill>
          <a:gsLst>
            <a:gs pos="0">
              <a:srgbClr val="323687"/>
            </a:gs>
            <a:gs pos="63000">
              <a:srgbClr val="181A3C"/>
            </a:gs>
          </a:gsLst>
          <a:lin ang="6000000" scaled="0"/>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325437</xdr:colOff>
      <xdr:row>3</xdr:row>
      <xdr:rowOff>31751</xdr:rowOff>
    </xdr:from>
    <xdr:to>
      <xdr:col>7</xdr:col>
      <xdr:colOff>55562</xdr:colOff>
      <xdr:row>5</xdr:row>
      <xdr:rowOff>150811</xdr:rowOff>
    </xdr:to>
    <xdr:sp macro="" textlink="">
      <xdr:nvSpPr>
        <xdr:cNvPr id="14" name="TextBox 13">
          <a:extLst>
            <a:ext uri="{FF2B5EF4-FFF2-40B4-BE49-F238E27FC236}">
              <a16:creationId xmlns:a16="http://schemas.microsoft.com/office/drawing/2014/main" id="{8ED31C9F-212B-43A8-AA6A-142E3A66474C}"/>
            </a:ext>
          </a:extLst>
        </xdr:cNvPr>
        <xdr:cNvSpPr txBox="1"/>
      </xdr:nvSpPr>
      <xdr:spPr>
        <a:xfrm>
          <a:off x="3373437" y="584201"/>
          <a:ext cx="949325" cy="48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tx2">
                  <a:lumMod val="50000"/>
                  <a:lumOff val="50000"/>
                </a:schemeClr>
              </a:solidFill>
            </a:rPr>
            <a:t>PERSONAL</a:t>
          </a:r>
          <a:r>
            <a:rPr lang="en-US" sz="1100" b="1" i="1">
              <a:solidFill>
                <a:schemeClr val="tx2">
                  <a:lumMod val="50000"/>
                  <a:lumOff val="50000"/>
                </a:schemeClr>
              </a:solidFill>
            </a:rPr>
            <a:t> </a:t>
          </a:r>
        </a:p>
        <a:p>
          <a:r>
            <a:rPr lang="en-US" sz="1100" b="1" i="1">
              <a:solidFill>
                <a:schemeClr val="tx2">
                  <a:lumMod val="50000"/>
                  <a:lumOff val="50000"/>
                </a:schemeClr>
              </a:solidFill>
            </a:rPr>
            <a:t>FINACE</a:t>
          </a:r>
        </a:p>
      </xdr:txBody>
    </xdr:sp>
    <xdr:clientData/>
  </xdr:twoCellAnchor>
  <xdr:twoCellAnchor editAs="oneCell">
    <xdr:from>
      <xdr:col>4</xdr:col>
      <xdr:colOff>484187</xdr:colOff>
      <xdr:row>3</xdr:row>
      <xdr:rowOff>39687</xdr:rowOff>
    </xdr:from>
    <xdr:to>
      <xdr:col>5</xdr:col>
      <xdr:colOff>330199</xdr:colOff>
      <xdr:row>5</xdr:row>
      <xdr:rowOff>131762</xdr:rowOff>
    </xdr:to>
    <xdr:pic>
      <xdr:nvPicPr>
        <xdr:cNvPr id="15" name="Graphic 14" descr="Pie chart outline">
          <a:extLst>
            <a:ext uri="{FF2B5EF4-FFF2-40B4-BE49-F238E27FC236}">
              <a16:creationId xmlns:a16="http://schemas.microsoft.com/office/drawing/2014/main" id="{0BC29279-A6C2-43B5-9458-0E5F3461A6E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22587" y="592137"/>
          <a:ext cx="455612" cy="460375"/>
        </a:xfrm>
        <a:prstGeom prst="rect">
          <a:avLst/>
        </a:prstGeom>
      </xdr:spPr>
    </xdr:pic>
    <xdr:clientData/>
  </xdr:twoCellAnchor>
  <xdr:twoCellAnchor>
    <xdr:from>
      <xdr:col>5</xdr:col>
      <xdr:colOff>380998</xdr:colOff>
      <xdr:row>3</xdr:row>
      <xdr:rowOff>7939</xdr:rowOff>
    </xdr:from>
    <xdr:to>
      <xdr:col>5</xdr:col>
      <xdr:colOff>380999</xdr:colOff>
      <xdr:row>5</xdr:row>
      <xdr:rowOff>127002</xdr:rowOff>
    </xdr:to>
    <xdr:cxnSp macro="">
      <xdr:nvCxnSpPr>
        <xdr:cNvPr id="16" name="Straight Connector 15">
          <a:extLst>
            <a:ext uri="{FF2B5EF4-FFF2-40B4-BE49-F238E27FC236}">
              <a16:creationId xmlns:a16="http://schemas.microsoft.com/office/drawing/2014/main" id="{5779F80F-3E66-4E00-AF43-E345405788A0}"/>
            </a:ext>
          </a:extLst>
        </xdr:cNvPr>
        <xdr:cNvCxnSpPr/>
      </xdr:nvCxnSpPr>
      <xdr:spPr>
        <a:xfrm>
          <a:off x="3428998" y="560389"/>
          <a:ext cx="1" cy="487363"/>
        </a:xfrm>
        <a:prstGeom prst="line">
          <a:avLst/>
        </a:prstGeom>
        <a:ln>
          <a:solidFill>
            <a:schemeClr val="bg2"/>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1676</xdr:colOff>
      <xdr:row>10</xdr:row>
      <xdr:rowOff>79375</xdr:rowOff>
    </xdr:from>
    <xdr:to>
      <xdr:col>6</xdr:col>
      <xdr:colOff>414427</xdr:colOff>
      <xdr:row>12</xdr:row>
      <xdr:rowOff>47625</xdr:rowOff>
    </xdr:to>
    <xdr:sp macro="" textlink="">
      <xdr:nvSpPr>
        <xdr:cNvPr id="17" name="TextBox 16">
          <a:extLst>
            <a:ext uri="{FF2B5EF4-FFF2-40B4-BE49-F238E27FC236}">
              <a16:creationId xmlns:a16="http://schemas.microsoft.com/office/drawing/2014/main" id="{E08B0DAF-5E79-46D7-AC2D-1098B02A9958}"/>
            </a:ext>
          </a:extLst>
        </xdr:cNvPr>
        <xdr:cNvSpPr txBox="1"/>
      </xdr:nvSpPr>
      <xdr:spPr>
        <a:xfrm>
          <a:off x="3049676" y="1920875"/>
          <a:ext cx="1022351"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bg1"/>
              </a:solidFill>
            </a:rPr>
            <a:t>Dashboard</a:t>
          </a:r>
          <a:endParaRPr lang="en-US" sz="1100" b="1" i="1">
            <a:solidFill>
              <a:schemeClr val="bg1"/>
            </a:solidFill>
          </a:endParaRPr>
        </a:p>
        <a:p>
          <a:pPr algn="ctr"/>
          <a:endParaRPr lang="en-US" sz="1050">
            <a:solidFill>
              <a:schemeClr val="bg1"/>
            </a:solidFill>
          </a:endParaRPr>
        </a:p>
      </xdr:txBody>
    </xdr:sp>
    <xdr:clientData/>
  </xdr:twoCellAnchor>
  <xdr:twoCellAnchor editAs="oneCell">
    <xdr:from>
      <xdr:col>5</xdr:col>
      <xdr:colOff>40571</xdr:colOff>
      <xdr:row>6</xdr:row>
      <xdr:rowOff>103187</xdr:rowOff>
    </xdr:from>
    <xdr:to>
      <xdr:col>6</xdr:col>
      <xdr:colOff>343784</xdr:colOff>
      <xdr:row>11</xdr:row>
      <xdr:rowOff>31749</xdr:rowOff>
    </xdr:to>
    <xdr:pic>
      <xdr:nvPicPr>
        <xdr:cNvPr id="18" name="Graphic 17" descr="Home with solid fill">
          <a:hlinkClick xmlns:r="http://schemas.openxmlformats.org/officeDocument/2006/relationships" r:id="rId3"/>
          <a:extLst>
            <a:ext uri="{FF2B5EF4-FFF2-40B4-BE49-F238E27FC236}">
              <a16:creationId xmlns:a16="http://schemas.microsoft.com/office/drawing/2014/main" id="{A5AD19E5-CC20-4BD9-BBA8-F5BDD4F87E1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88571" y="1208087"/>
          <a:ext cx="912813" cy="849312"/>
        </a:xfrm>
        <a:prstGeom prst="rect">
          <a:avLst/>
        </a:prstGeom>
        <a:effectLst>
          <a:glow rad="127000">
            <a:srgbClr val="CEC5FF">
              <a:alpha val="43000"/>
            </a:srgbClr>
          </a:glow>
        </a:effectLst>
      </xdr:spPr>
    </xdr:pic>
    <xdr:clientData/>
  </xdr:twoCellAnchor>
  <xdr:twoCellAnchor>
    <xdr:from>
      <xdr:col>23</xdr:col>
      <xdr:colOff>127000</xdr:colOff>
      <xdr:row>17</xdr:row>
      <xdr:rowOff>13019</xdr:rowOff>
    </xdr:from>
    <xdr:to>
      <xdr:col>25</xdr:col>
      <xdr:colOff>23813</xdr:colOff>
      <xdr:row>19</xdr:row>
      <xdr:rowOff>7938</xdr:rowOff>
    </xdr:to>
    <xdr:sp macro="" textlink="Processing!K6">
      <xdr:nvSpPr>
        <xdr:cNvPr id="19" name="TextBox 18">
          <a:extLst>
            <a:ext uri="{FF2B5EF4-FFF2-40B4-BE49-F238E27FC236}">
              <a16:creationId xmlns:a16="http://schemas.microsoft.com/office/drawing/2014/main" id="{AE8B93E1-68AB-4171-819B-3653C40FC9E5}"/>
            </a:ext>
          </a:extLst>
        </xdr:cNvPr>
        <xdr:cNvSpPr txBox="1"/>
      </xdr:nvSpPr>
      <xdr:spPr>
        <a:xfrm>
          <a:off x="14147800" y="3143569"/>
          <a:ext cx="1116013"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E1FE0-426B-4395-AAC1-35A9723FF864}" type="TxLink">
            <a:rPr lang="en-US" sz="2000" b="0" i="0" u="none" strike="noStrike">
              <a:solidFill>
                <a:schemeClr val="bg1"/>
              </a:solidFill>
              <a:latin typeface="Aptos Narrow"/>
            </a:rPr>
            <a:pPr algn="ctr"/>
            <a:t>$3,980</a:t>
          </a:fld>
          <a:endParaRPr lang="en-US" sz="3600" b="1" i="1">
            <a:solidFill>
              <a:schemeClr val="bg1"/>
            </a:solidFill>
          </a:endParaRPr>
        </a:p>
      </xdr:txBody>
    </xdr:sp>
    <xdr:clientData/>
  </xdr:twoCellAnchor>
  <xdr:twoCellAnchor editAs="oneCell">
    <xdr:from>
      <xdr:col>5</xdr:col>
      <xdr:colOff>235792</xdr:colOff>
      <xdr:row>30</xdr:row>
      <xdr:rowOff>157349</xdr:rowOff>
    </xdr:from>
    <xdr:to>
      <xdr:col>6</xdr:col>
      <xdr:colOff>80404</xdr:colOff>
      <xdr:row>33</xdr:row>
      <xdr:rowOff>62660</xdr:rowOff>
    </xdr:to>
    <xdr:pic>
      <xdr:nvPicPr>
        <xdr:cNvPr id="20" name="Graphic 19" descr="Bullseye with solid fill">
          <a:hlinkClick xmlns:r="http://schemas.openxmlformats.org/officeDocument/2006/relationships" r:id="rId6"/>
          <a:extLst>
            <a:ext uri="{FF2B5EF4-FFF2-40B4-BE49-F238E27FC236}">
              <a16:creationId xmlns:a16="http://schemas.microsoft.com/office/drawing/2014/main" id="{979F4F64-67D2-4DDB-BAFD-937E90CDC8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83792" y="5681849"/>
          <a:ext cx="454212" cy="457761"/>
        </a:xfrm>
        <a:prstGeom prst="rect">
          <a:avLst/>
        </a:prstGeom>
      </xdr:spPr>
    </xdr:pic>
    <xdr:clientData/>
  </xdr:twoCellAnchor>
  <xdr:twoCellAnchor editAs="oneCell">
    <xdr:from>
      <xdr:col>5</xdr:col>
      <xdr:colOff>249451</xdr:colOff>
      <xdr:row>24</xdr:row>
      <xdr:rowOff>44944</xdr:rowOff>
    </xdr:from>
    <xdr:to>
      <xdr:col>6</xdr:col>
      <xdr:colOff>94063</xdr:colOff>
      <xdr:row>26</xdr:row>
      <xdr:rowOff>141222</xdr:rowOff>
    </xdr:to>
    <xdr:pic>
      <xdr:nvPicPr>
        <xdr:cNvPr id="21" name="Graphic 20" descr="Open hand with plant with solid fill">
          <a:extLst>
            <a:ext uri="{FF2B5EF4-FFF2-40B4-BE49-F238E27FC236}">
              <a16:creationId xmlns:a16="http://schemas.microsoft.com/office/drawing/2014/main" id="{A78E1B27-F939-426D-81AA-4D0E7154F07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297451" y="4464544"/>
          <a:ext cx="454212" cy="464578"/>
        </a:xfrm>
        <a:prstGeom prst="rect">
          <a:avLst/>
        </a:prstGeom>
      </xdr:spPr>
    </xdr:pic>
    <xdr:clientData/>
  </xdr:twoCellAnchor>
  <xdr:twoCellAnchor editAs="oneCell">
    <xdr:from>
      <xdr:col>5</xdr:col>
      <xdr:colOff>194943</xdr:colOff>
      <xdr:row>19</xdr:row>
      <xdr:rowOff>119771</xdr:rowOff>
    </xdr:from>
    <xdr:to>
      <xdr:col>6</xdr:col>
      <xdr:colOff>188632</xdr:colOff>
      <xdr:row>23</xdr:row>
      <xdr:rowOff>1245</xdr:rowOff>
    </xdr:to>
    <xdr:pic>
      <xdr:nvPicPr>
        <xdr:cNvPr id="22" name="Graphic 21" descr="Bar graph with downward trend with solid fill">
          <a:extLst>
            <a:ext uri="{FF2B5EF4-FFF2-40B4-BE49-F238E27FC236}">
              <a16:creationId xmlns:a16="http://schemas.microsoft.com/office/drawing/2014/main" id="{9D118E75-0C8D-4A26-9E35-F5FE005CD8F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42943" y="3618621"/>
          <a:ext cx="603289" cy="618074"/>
        </a:xfrm>
        <a:prstGeom prst="rect">
          <a:avLst/>
        </a:prstGeom>
      </xdr:spPr>
    </xdr:pic>
    <xdr:clientData/>
  </xdr:twoCellAnchor>
  <xdr:twoCellAnchor editAs="oneCell">
    <xdr:from>
      <xdr:col>5</xdr:col>
      <xdr:colOff>203937</xdr:colOff>
      <xdr:row>15</xdr:row>
      <xdr:rowOff>148375</xdr:rowOff>
    </xdr:from>
    <xdr:to>
      <xdr:col>6</xdr:col>
      <xdr:colOff>158750</xdr:colOff>
      <xdr:row>18</xdr:row>
      <xdr:rowOff>166688</xdr:rowOff>
    </xdr:to>
    <xdr:pic>
      <xdr:nvPicPr>
        <xdr:cNvPr id="23" name="Graphic 22" descr="Bar graph with upward trend with solid fill">
          <a:hlinkClick xmlns:r="http://schemas.openxmlformats.org/officeDocument/2006/relationships" r:id="rId13"/>
          <a:extLst>
            <a:ext uri="{FF2B5EF4-FFF2-40B4-BE49-F238E27FC236}">
              <a16:creationId xmlns:a16="http://schemas.microsoft.com/office/drawing/2014/main" id="{C0E592A5-C5F9-4443-98C9-30C7B3E0185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51937" y="2910625"/>
          <a:ext cx="564413" cy="570763"/>
        </a:xfrm>
        <a:prstGeom prst="rect">
          <a:avLst/>
        </a:prstGeom>
      </xdr:spPr>
    </xdr:pic>
    <xdr:clientData/>
  </xdr:twoCellAnchor>
  <xdr:twoCellAnchor editAs="oneCell">
    <xdr:from>
      <xdr:col>5</xdr:col>
      <xdr:colOff>206375</xdr:colOff>
      <xdr:row>11</xdr:row>
      <xdr:rowOff>174624</xdr:rowOff>
    </xdr:from>
    <xdr:to>
      <xdr:col>6</xdr:col>
      <xdr:colOff>166687</xdr:colOff>
      <xdr:row>14</xdr:row>
      <xdr:rowOff>128512</xdr:rowOff>
    </xdr:to>
    <xdr:pic>
      <xdr:nvPicPr>
        <xdr:cNvPr id="24" name="Graphic 23" descr="Treasure chest outline">
          <a:hlinkClick xmlns:r="http://schemas.openxmlformats.org/officeDocument/2006/relationships" r:id="rId16"/>
          <a:extLst>
            <a:ext uri="{FF2B5EF4-FFF2-40B4-BE49-F238E27FC236}">
              <a16:creationId xmlns:a16="http://schemas.microsoft.com/office/drawing/2014/main" id="{2FBB909F-54F2-48EE-9E16-F695CA0FE91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254375" y="2200274"/>
          <a:ext cx="569912" cy="506338"/>
        </a:xfrm>
        <a:prstGeom prst="rect">
          <a:avLst/>
        </a:prstGeom>
      </xdr:spPr>
    </xdr:pic>
    <xdr:clientData/>
  </xdr:twoCellAnchor>
  <xdr:twoCellAnchor>
    <xdr:from>
      <xdr:col>22</xdr:col>
      <xdr:colOff>130969</xdr:colOff>
      <xdr:row>23</xdr:row>
      <xdr:rowOff>129877</xdr:rowOff>
    </xdr:from>
    <xdr:to>
      <xdr:col>23</xdr:col>
      <xdr:colOff>551656</xdr:colOff>
      <xdr:row>26</xdr:row>
      <xdr:rowOff>42562</xdr:rowOff>
    </xdr:to>
    <xdr:sp macro="" textlink="">
      <xdr:nvSpPr>
        <xdr:cNvPr id="25" name="TextBox 24">
          <a:extLst>
            <a:ext uri="{FF2B5EF4-FFF2-40B4-BE49-F238E27FC236}">
              <a16:creationId xmlns:a16="http://schemas.microsoft.com/office/drawing/2014/main" id="{7710705B-9B0C-410F-8586-BFA96A416983}"/>
            </a:ext>
          </a:extLst>
        </xdr:cNvPr>
        <xdr:cNvSpPr txBox="1"/>
      </xdr:nvSpPr>
      <xdr:spPr>
        <a:xfrm>
          <a:off x="13542169" y="4365327"/>
          <a:ext cx="1030287" cy="46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372A4"/>
              </a:solidFill>
              <a:latin typeface="+mn-lt"/>
              <a:ea typeface="+mn-ea"/>
              <a:cs typeface="+mn-cs"/>
            </a:rPr>
            <a:t>In</a:t>
          </a:r>
          <a:r>
            <a:rPr lang="en-US" sz="1400">
              <a:solidFill>
                <a:srgbClr val="6372A4"/>
              </a:solidFill>
            </a:rPr>
            <a:t>come</a:t>
          </a:r>
          <a:endParaRPr lang="en-US" sz="1100">
            <a:solidFill>
              <a:srgbClr val="6372A4"/>
            </a:solidFill>
          </a:endParaRPr>
        </a:p>
      </xdr:txBody>
    </xdr:sp>
    <xdr:clientData/>
  </xdr:twoCellAnchor>
  <xdr:twoCellAnchor>
    <xdr:from>
      <xdr:col>22</xdr:col>
      <xdr:colOff>273844</xdr:colOff>
      <xdr:row>26</xdr:row>
      <xdr:rowOff>105537</xdr:rowOff>
    </xdr:from>
    <xdr:to>
      <xdr:col>24</xdr:col>
      <xdr:colOff>51594</xdr:colOff>
      <xdr:row>28</xdr:row>
      <xdr:rowOff>129350</xdr:rowOff>
    </xdr:to>
    <xdr:sp macro="" textlink="">
      <xdr:nvSpPr>
        <xdr:cNvPr id="26" name="TextBox 25">
          <a:extLst>
            <a:ext uri="{FF2B5EF4-FFF2-40B4-BE49-F238E27FC236}">
              <a16:creationId xmlns:a16="http://schemas.microsoft.com/office/drawing/2014/main" id="{16C01853-67F3-49FD-A4D2-92BBA6C643D1}"/>
            </a:ext>
          </a:extLst>
        </xdr:cNvPr>
        <xdr:cNvSpPr txBox="1"/>
      </xdr:nvSpPr>
      <xdr:spPr>
        <a:xfrm>
          <a:off x="13685044" y="4893437"/>
          <a:ext cx="996950" cy="392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Expensev</a:t>
          </a:r>
        </a:p>
      </xdr:txBody>
    </xdr:sp>
    <xdr:clientData/>
  </xdr:twoCellAnchor>
  <xdr:twoCellAnchor>
    <xdr:from>
      <xdr:col>22</xdr:col>
      <xdr:colOff>301624</xdr:colOff>
      <xdr:row>31</xdr:row>
      <xdr:rowOff>8462</xdr:rowOff>
    </xdr:from>
    <xdr:to>
      <xdr:col>24</xdr:col>
      <xdr:colOff>55562</xdr:colOff>
      <xdr:row>32</xdr:row>
      <xdr:rowOff>95775</xdr:rowOff>
    </xdr:to>
    <xdr:sp macro="" textlink="">
      <xdr:nvSpPr>
        <xdr:cNvPr id="27" name="TextBox 26">
          <a:extLst>
            <a:ext uri="{FF2B5EF4-FFF2-40B4-BE49-F238E27FC236}">
              <a16:creationId xmlns:a16="http://schemas.microsoft.com/office/drawing/2014/main" id="{37302D0B-CB15-49EC-825E-0A554AEDC1C9}"/>
            </a:ext>
          </a:extLst>
        </xdr:cNvPr>
        <xdr:cNvSpPr txBox="1"/>
      </xdr:nvSpPr>
      <xdr:spPr>
        <a:xfrm>
          <a:off x="13712824" y="5717112"/>
          <a:ext cx="973138"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Debts</a:t>
          </a:r>
          <a:endParaRPr lang="en-US" sz="1100">
            <a:solidFill>
              <a:srgbClr val="6372A4"/>
            </a:solidFill>
          </a:endParaRPr>
        </a:p>
        <a:p>
          <a:endParaRPr lang="en-US" sz="1100"/>
        </a:p>
      </xdr:txBody>
    </xdr:sp>
    <xdr:clientData/>
  </xdr:twoCellAnchor>
  <xdr:twoCellAnchor>
    <xdr:from>
      <xdr:col>22</xdr:col>
      <xdr:colOff>297656</xdr:colOff>
      <xdr:row>33</xdr:row>
      <xdr:rowOff>55563</xdr:rowOff>
    </xdr:from>
    <xdr:to>
      <xdr:col>23</xdr:col>
      <xdr:colOff>607218</xdr:colOff>
      <xdr:row>36</xdr:row>
      <xdr:rowOff>95251</xdr:rowOff>
    </xdr:to>
    <xdr:sp macro="" textlink="">
      <xdr:nvSpPr>
        <xdr:cNvPr id="28" name="TextBox 27">
          <a:extLst>
            <a:ext uri="{FF2B5EF4-FFF2-40B4-BE49-F238E27FC236}">
              <a16:creationId xmlns:a16="http://schemas.microsoft.com/office/drawing/2014/main" id="{F4BC530E-BBDE-4A41-B2C8-D7DCF3D9D71F}"/>
            </a:ext>
          </a:extLst>
        </xdr:cNvPr>
        <xdr:cNvSpPr txBox="1"/>
      </xdr:nvSpPr>
      <xdr:spPr>
        <a:xfrm>
          <a:off x="13708856" y="6132513"/>
          <a:ext cx="919162" cy="59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Fin Goals</a:t>
          </a:r>
        </a:p>
      </xdr:txBody>
    </xdr:sp>
    <xdr:clientData/>
  </xdr:twoCellAnchor>
  <xdr:twoCellAnchor>
    <xdr:from>
      <xdr:col>22</xdr:col>
      <xdr:colOff>281082</xdr:colOff>
      <xdr:row>29</xdr:row>
      <xdr:rowOff>9762</xdr:rowOff>
    </xdr:from>
    <xdr:to>
      <xdr:col>24</xdr:col>
      <xdr:colOff>28482</xdr:colOff>
      <xdr:row>31</xdr:row>
      <xdr:rowOff>24862</xdr:rowOff>
    </xdr:to>
    <xdr:sp macro="" textlink="">
      <xdr:nvSpPr>
        <xdr:cNvPr id="29" name="TextBox 28">
          <a:extLst>
            <a:ext uri="{FF2B5EF4-FFF2-40B4-BE49-F238E27FC236}">
              <a16:creationId xmlns:a16="http://schemas.microsoft.com/office/drawing/2014/main" id="{5C40B77B-2484-4D46-B3C2-3002DEEF5D66}"/>
            </a:ext>
          </a:extLst>
        </xdr:cNvPr>
        <xdr:cNvSpPr txBox="1"/>
      </xdr:nvSpPr>
      <xdr:spPr>
        <a:xfrm>
          <a:off x="13692282" y="5350112"/>
          <a:ext cx="966600" cy="38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6372A4"/>
              </a:solidFill>
            </a:rPr>
            <a:t>Investmants</a:t>
          </a:r>
        </a:p>
      </xdr:txBody>
    </xdr:sp>
    <xdr:clientData/>
  </xdr:twoCellAnchor>
  <xdr:twoCellAnchor>
    <xdr:from>
      <xdr:col>5</xdr:col>
      <xdr:colOff>164353</xdr:colOff>
      <xdr:row>27</xdr:row>
      <xdr:rowOff>119530</xdr:rowOff>
    </xdr:from>
    <xdr:to>
      <xdr:col>6</xdr:col>
      <xdr:colOff>231588</xdr:colOff>
      <xdr:row>28</xdr:row>
      <xdr:rowOff>156882</xdr:rowOff>
    </xdr:to>
    <xdr:sp macro="" textlink="">
      <xdr:nvSpPr>
        <xdr:cNvPr id="30" name="TextBox 29">
          <a:hlinkClick xmlns:r="http://schemas.openxmlformats.org/officeDocument/2006/relationships" r:id="rId19"/>
          <a:extLst>
            <a:ext uri="{FF2B5EF4-FFF2-40B4-BE49-F238E27FC236}">
              <a16:creationId xmlns:a16="http://schemas.microsoft.com/office/drawing/2014/main" id="{877CF669-F9E9-40EC-8693-662D79E0C36C}"/>
            </a:ext>
          </a:extLst>
        </xdr:cNvPr>
        <xdr:cNvSpPr txBox="1"/>
      </xdr:nvSpPr>
      <xdr:spPr>
        <a:xfrm>
          <a:off x="3212353" y="5091580"/>
          <a:ext cx="676835" cy="22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rgbClr val="6372A4"/>
              </a:solidFill>
            </a:rPr>
            <a:t>%</a:t>
          </a:r>
        </a:p>
      </xdr:txBody>
    </xdr:sp>
    <xdr:clientData/>
  </xdr:twoCellAnchor>
  <xdr:twoCellAnchor>
    <xdr:from>
      <xdr:col>22</xdr:col>
      <xdr:colOff>6049</xdr:colOff>
      <xdr:row>9</xdr:row>
      <xdr:rowOff>91164</xdr:rowOff>
    </xdr:from>
    <xdr:to>
      <xdr:col>25</xdr:col>
      <xdr:colOff>102932</xdr:colOff>
      <xdr:row>16</xdr:row>
      <xdr:rowOff>9884</xdr:rowOff>
    </xdr:to>
    <xdr:sp macro="" textlink="">
      <xdr:nvSpPr>
        <xdr:cNvPr id="31" name="Rectangle: Rounded Corners 30">
          <a:extLst>
            <a:ext uri="{FF2B5EF4-FFF2-40B4-BE49-F238E27FC236}">
              <a16:creationId xmlns:a16="http://schemas.microsoft.com/office/drawing/2014/main" id="{24DC48ED-6F3E-41C5-AA9A-5D14D8AC5750}"/>
            </a:ext>
          </a:extLst>
        </xdr:cNvPr>
        <xdr:cNvSpPr/>
      </xdr:nvSpPr>
      <xdr:spPr>
        <a:xfrm>
          <a:off x="13417249" y="1748514"/>
          <a:ext cx="1925683" cy="1207770"/>
        </a:xfrm>
        <a:prstGeom prst="roundRect">
          <a:avLst>
            <a:gd name="adj" fmla="val 9799"/>
          </a:avLst>
        </a:prstGeom>
        <a:gradFill>
          <a:gsLst>
            <a:gs pos="0">
              <a:srgbClr val="22248D"/>
            </a:gs>
            <a:gs pos="67000">
              <a:srgbClr val="060839"/>
            </a:gs>
          </a:gsLst>
          <a:lin ang="8100000" scaled="0"/>
        </a:gradFill>
        <a:ln w="9525">
          <a:gradFill>
            <a:gsLst>
              <a:gs pos="25000">
                <a:srgbClr val="7079FF"/>
              </a:gs>
              <a:gs pos="100000">
                <a:srgbClr val="A2D8F0"/>
              </a:gs>
            </a:gsLst>
            <a:lin ang="8100000" scaled="0"/>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22</xdr:col>
      <xdr:colOff>127000</xdr:colOff>
      <xdr:row>11</xdr:row>
      <xdr:rowOff>99787</xdr:rowOff>
    </xdr:from>
    <xdr:to>
      <xdr:col>22</xdr:col>
      <xdr:colOff>471713</xdr:colOff>
      <xdr:row>13</xdr:row>
      <xdr:rowOff>45358</xdr:rowOff>
    </xdr:to>
    <xdr:sp macro="" textlink="">
      <xdr:nvSpPr>
        <xdr:cNvPr id="32" name="Rectangle: Rounded Corners 31">
          <a:extLst>
            <a:ext uri="{FF2B5EF4-FFF2-40B4-BE49-F238E27FC236}">
              <a16:creationId xmlns:a16="http://schemas.microsoft.com/office/drawing/2014/main" id="{BC6DDA6E-E077-424E-B851-A1DAD6E23047}"/>
            </a:ext>
          </a:extLst>
        </xdr:cNvPr>
        <xdr:cNvSpPr/>
      </xdr:nvSpPr>
      <xdr:spPr>
        <a:xfrm>
          <a:off x="13538200" y="2125437"/>
          <a:ext cx="344713" cy="313871"/>
        </a:xfrm>
        <a:prstGeom prst="roundRect">
          <a:avLst>
            <a:gd name="adj" fmla="val 26930"/>
          </a:avLst>
        </a:prstGeom>
        <a:solidFill>
          <a:srgbClr val="FFE07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388937</xdr:colOff>
      <xdr:row>10</xdr:row>
      <xdr:rowOff>14460</xdr:rowOff>
    </xdr:from>
    <xdr:to>
      <xdr:col>25</xdr:col>
      <xdr:colOff>35151</xdr:colOff>
      <xdr:row>11</xdr:row>
      <xdr:rowOff>172358</xdr:rowOff>
    </xdr:to>
    <xdr:grpSp>
      <xdr:nvGrpSpPr>
        <xdr:cNvPr id="33" name="Group 32">
          <a:extLst>
            <a:ext uri="{FF2B5EF4-FFF2-40B4-BE49-F238E27FC236}">
              <a16:creationId xmlns:a16="http://schemas.microsoft.com/office/drawing/2014/main" id="{40A1DAD0-F507-450B-9248-0F780B74DF4A}"/>
            </a:ext>
          </a:extLst>
        </xdr:cNvPr>
        <xdr:cNvGrpSpPr/>
      </xdr:nvGrpSpPr>
      <xdr:grpSpPr>
        <a:xfrm>
          <a:off x="14816137" y="1877127"/>
          <a:ext cx="247347" cy="344164"/>
          <a:chOff x="14904357" y="1837817"/>
          <a:chExt cx="312112" cy="354329"/>
        </a:xfrm>
      </xdr:grpSpPr>
      <xdr:sp macro="" textlink="">
        <xdr:nvSpPr>
          <xdr:cNvPr id="34" name="Freeform: Shape 33">
            <a:extLst>
              <a:ext uri="{FF2B5EF4-FFF2-40B4-BE49-F238E27FC236}">
                <a16:creationId xmlns:a16="http://schemas.microsoft.com/office/drawing/2014/main" id="{4F1105C3-F7AC-4971-E7E0-4D12A0BF28AC}"/>
              </a:ext>
            </a:extLst>
          </xdr:cNvPr>
          <xdr:cNvSpPr/>
        </xdr:nvSpPr>
        <xdr:spPr>
          <a:xfrm>
            <a:off x="15121164" y="1837817"/>
            <a:ext cx="95305" cy="354329"/>
          </a:xfrm>
          <a:custGeom>
            <a:avLst/>
            <a:gdLst>
              <a:gd name="csX0" fmla="*/ 56102 w 95305"/>
              <a:gd name="csY0" fmla="*/ 191453 h 354329"/>
              <a:gd name="csX1" fmla="*/ 0 w 95305"/>
              <a:gd name="csY1" fmla="*/ 325755 h 354329"/>
              <a:gd name="csX2" fmla="*/ 24956 w 95305"/>
              <a:gd name="csY2" fmla="*/ 354330 h 354329"/>
              <a:gd name="csX3" fmla="*/ 30861 w 95305"/>
              <a:gd name="csY3" fmla="*/ 0 h 354329"/>
              <a:gd name="csX4" fmla="*/ 2286 w 95305"/>
              <a:gd name="csY4" fmla="*/ 24575 h 354329"/>
              <a:gd name="csX5" fmla="*/ 56102 w 95305"/>
              <a:gd name="csY5" fmla="*/ 191453 h 354329"/>
            </a:gdLst>
            <a:ahLst/>
            <a:cxnLst>
              <a:cxn ang="0">
                <a:pos x="csX0" y="csY0"/>
              </a:cxn>
              <a:cxn ang="0">
                <a:pos x="csX1" y="csY1"/>
              </a:cxn>
              <a:cxn ang="0">
                <a:pos x="csX2" y="csY2"/>
              </a:cxn>
              <a:cxn ang="0">
                <a:pos x="csX3" y="csY3"/>
              </a:cxn>
              <a:cxn ang="0">
                <a:pos x="csX4" y="csY4"/>
              </a:cxn>
              <a:cxn ang="0">
                <a:pos x="csX5" y="csY5"/>
              </a:cxn>
            </a:cxnLst>
            <a:rect l="l" t="t" r="r" b="b"/>
            <a:pathLst>
              <a:path w="95305" h="354329">
                <a:moveTo>
                  <a:pt x="56102" y="191453"/>
                </a:moveTo>
                <a:cubicBezTo>
                  <a:pt x="52582" y="241148"/>
                  <a:pt x="32876" y="288322"/>
                  <a:pt x="0" y="325755"/>
                </a:cubicBezTo>
                <a:lnTo>
                  <a:pt x="24956" y="354330"/>
                </a:lnTo>
                <a:cubicBezTo>
                  <a:pt x="116453" y="254791"/>
                  <a:pt x="118990" y="102533"/>
                  <a:pt x="30861" y="0"/>
                </a:cubicBezTo>
                <a:lnTo>
                  <a:pt x="2286" y="24575"/>
                </a:lnTo>
                <a:cubicBezTo>
                  <a:pt x="41693" y="70836"/>
                  <a:pt x="61058" y="130885"/>
                  <a:pt x="56102" y="191453"/>
                </a:cubicBezTo>
                <a:close/>
              </a:path>
            </a:pathLst>
          </a:custGeom>
          <a:solidFill>
            <a:schemeClr val="bg1"/>
          </a:solidFill>
          <a:ln w="9525" cap="flat">
            <a:noFill/>
            <a:prstDash val="solid"/>
            <a:miter/>
          </a:ln>
        </xdr:spPr>
      </xdr:sp>
      <xdr:sp macro="" textlink="">
        <xdr:nvSpPr>
          <xdr:cNvPr id="35" name="Freeform: Shape 34">
            <a:extLst>
              <a:ext uri="{FF2B5EF4-FFF2-40B4-BE49-F238E27FC236}">
                <a16:creationId xmlns:a16="http://schemas.microsoft.com/office/drawing/2014/main" id="{4EB7260E-394C-5404-7866-4A31B72F148E}"/>
              </a:ext>
            </a:extLst>
          </xdr:cNvPr>
          <xdr:cNvSpPr/>
        </xdr:nvSpPr>
        <xdr:spPr>
          <a:xfrm>
            <a:off x="15064776" y="1888299"/>
            <a:ext cx="75014" cy="245649"/>
          </a:xfrm>
          <a:custGeom>
            <a:avLst/>
            <a:gdLst>
              <a:gd name="csX0" fmla="*/ 36481 w 75014"/>
              <a:gd name="csY0" fmla="*/ 135255 h 245649"/>
              <a:gd name="csX1" fmla="*/ 5334 w 75014"/>
              <a:gd name="csY1" fmla="*/ 216408 h 245649"/>
              <a:gd name="csX2" fmla="*/ 30480 w 75014"/>
              <a:gd name="csY2" fmla="*/ 245650 h 245649"/>
              <a:gd name="csX3" fmla="*/ 28575 w 75014"/>
              <a:gd name="csY3" fmla="*/ 0 h 245649"/>
              <a:gd name="csX4" fmla="*/ 0 w 75014"/>
              <a:gd name="csY4" fmla="*/ 24575 h 245649"/>
              <a:gd name="csX5" fmla="*/ 36481 w 75014"/>
              <a:gd name="csY5" fmla="*/ 135255 h 245649"/>
            </a:gdLst>
            <a:ahLst/>
            <a:cxnLst>
              <a:cxn ang="0">
                <a:pos x="csX0" y="csY0"/>
              </a:cxn>
              <a:cxn ang="0">
                <a:pos x="csX1" y="csY1"/>
              </a:cxn>
              <a:cxn ang="0">
                <a:pos x="csX2" y="csY2"/>
              </a:cxn>
              <a:cxn ang="0">
                <a:pos x="csX3" y="csY3"/>
              </a:cxn>
              <a:cxn ang="0">
                <a:pos x="csX4" y="csY4"/>
              </a:cxn>
              <a:cxn ang="0">
                <a:pos x="csX5" y="csY5"/>
              </a:cxn>
            </a:cxnLst>
            <a:rect l="l" t="t" r="r" b="b"/>
            <a:pathLst>
              <a:path w="75014" h="245649">
                <a:moveTo>
                  <a:pt x="36481" y="135255"/>
                </a:moveTo>
                <a:cubicBezTo>
                  <a:pt x="34274" y="164773"/>
                  <a:pt x="23443" y="192993"/>
                  <a:pt x="5334" y="216408"/>
                </a:cubicBezTo>
                <a:lnTo>
                  <a:pt x="30480" y="245650"/>
                </a:lnTo>
                <a:cubicBezTo>
                  <a:pt x="90573" y="174524"/>
                  <a:pt x="89765" y="70186"/>
                  <a:pt x="28575" y="0"/>
                </a:cubicBezTo>
                <a:lnTo>
                  <a:pt x="0" y="24575"/>
                </a:lnTo>
                <a:cubicBezTo>
                  <a:pt x="26418" y="55135"/>
                  <a:pt x="39549" y="94975"/>
                  <a:pt x="36481" y="135255"/>
                </a:cubicBezTo>
                <a:close/>
              </a:path>
            </a:pathLst>
          </a:custGeom>
          <a:solidFill>
            <a:schemeClr val="bg1"/>
          </a:solidFill>
          <a:ln w="9525" cap="flat">
            <a:noFill/>
            <a:prstDash val="solid"/>
            <a:miter/>
          </a:ln>
        </xdr:spPr>
      </xdr:sp>
      <xdr:sp macro="" textlink="">
        <xdr:nvSpPr>
          <xdr:cNvPr id="36" name="Oval 35">
            <a:extLst>
              <a:ext uri="{FF2B5EF4-FFF2-40B4-BE49-F238E27FC236}">
                <a16:creationId xmlns:a16="http://schemas.microsoft.com/office/drawing/2014/main" id="{D466AB2F-3E48-C8A1-3001-F994F759818A}"/>
              </a:ext>
            </a:extLst>
          </xdr:cNvPr>
          <xdr:cNvSpPr/>
        </xdr:nvSpPr>
        <xdr:spPr>
          <a:xfrm>
            <a:off x="14904357" y="1932215"/>
            <a:ext cx="118872" cy="118872"/>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22</xdr:col>
      <xdr:colOff>163286</xdr:colOff>
      <xdr:row>14</xdr:row>
      <xdr:rowOff>27214</xdr:rowOff>
    </xdr:from>
    <xdr:to>
      <xdr:col>24</xdr:col>
      <xdr:colOff>535215</xdr:colOff>
      <xdr:row>15</xdr:row>
      <xdr:rowOff>54428</xdr:rowOff>
    </xdr:to>
    <xdr:sp macro="" textlink="">
      <xdr:nvSpPr>
        <xdr:cNvPr id="37" name="TextBox 36">
          <a:extLst>
            <a:ext uri="{FF2B5EF4-FFF2-40B4-BE49-F238E27FC236}">
              <a16:creationId xmlns:a16="http://schemas.microsoft.com/office/drawing/2014/main" id="{76C4FAEE-8FE5-4EE4-9014-ABCE5B806481}"/>
            </a:ext>
          </a:extLst>
        </xdr:cNvPr>
        <xdr:cNvSpPr txBox="1"/>
      </xdr:nvSpPr>
      <xdr:spPr>
        <a:xfrm>
          <a:off x="13574486" y="2605314"/>
          <a:ext cx="1591129" cy="21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r>
            <a:rPr lang="en-US" sz="1100" baseline="0">
              <a:solidFill>
                <a:schemeClr val="bg1"/>
              </a:solidFill>
            </a:rPr>
            <a:t> ***** **** *****</a:t>
          </a:r>
          <a:endParaRPr lang="en-US" sz="1100">
            <a:solidFill>
              <a:schemeClr val="bg1"/>
            </a:solidFill>
          </a:endParaRPr>
        </a:p>
      </xdr:txBody>
    </xdr:sp>
    <xdr:clientData/>
  </xdr:twoCellAnchor>
  <xdr:twoCellAnchor editAs="oneCell">
    <xdr:from>
      <xdr:col>23</xdr:col>
      <xdr:colOff>453571</xdr:colOff>
      <xdr:row>10</xdr:row>
      <xdr:rowOff>36286</xdr:rowOff>
    </xdr:from>
    <xdr:to>
      <xdr:col>24</xdr:col>
      <xdr:colOff>211545</xdr:colOff>
      <xdr:row>12</xdr:row>
      <xdr:rowOff>39189</xdr:rowOff>
    </xdr:to>
    <xdr:pic>
      <xdr:nvPicPr>
        <xdr:cNvPr id="38" name="Graphic 37" descr="Moon with solid fill">
          <a:extLst>
            <a:ext uri="{FF2B5EF4-FFF2-40B4-BE49-F238E27FC236}">
              <a16:creationId xmlns:a16="http://schemas.microsoft.com/office/drawing/2014/main" id="{ADC9708D-149D-40C8-B103-4AA9296476D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474371" y="1877786"/>
          <a:ext cx="367574" cy="371203"/>
        </a:xfrm>
        <a:prstGeom prst="rect">
          <a:avLst/>
        </a:prstGeom>
      </xdr:spPr>
    </xdr:pic>
    <xdr:clientData/>
  </xdr:twoCellAnchor>
  <xdr:twoCellAnchor editAs="oneCell">
    <xdr:from>
      <xdr:col>22</xdr:col>
      <xdr:colOff>535214</xdr:colOff>
      <xdr:row>10</xdr:row>
      <xdr:rowOff>36286</xdr:rowOff>
    </xdr:from>
    <xdr:to>
      <xdr:col>23</xdr:col>
      <xdr:colOff>303686</xdr:colOff>
      <xdr:row>12</xdr:row>
      <xdr:rowOff>51274</xdr:rowOff>
    </xdr:to>
    <xdr:pic>
      <xdr:nvPicPr>
        <xdr:cNvPr id="39" name="Picture 79" descr="Sun with solid fill">
          <a:extLst>
            <a:ext uri="{FF2B5EF4-FFF2-40B4-BE49-F238E27FC236}">
              <a16:creationId xmlns:a16="http://schemas.microsoft.com/office/drawing/2014/main" id="{4C319D7B-8946-475A-A22B-D7632BC3846C}"/>
            </a:ext>
          </a:extLst>
        </xdr:cNvPr>
        <xdr:cNvPicPr>
          <a:picLocks noChangeAspect="1"/>
        </xdr:cNvPicPr>
      </xdr:nvPicPr>
      <xdr:blipFill>
        <a:blip xmlns:r="http://schemas.openxmlformats.org/officeDocument/2006/relationships" r:embed="rId22"/>
        <a:stretch>
          <a:fillRect/>
        </a:stretch>
      </xdr:blipFill>
      <xdr:spPr>
        <a:xfrm>
          <a:off x="13946414" y="1877786"/>
          <a:ext cx="378072" cy="383288"/>
        </a:xfrm>
        <a:prstGeom prst="rect">
          <a:avLst/>
        </a:prstGeom>
      </xdr:spPr>
    </xdr:pic>
    <xdr:clientData/>
  </xdr:twoCellAnchor>
  <xdr:twoCellAnchor>
    <xdr:from>
      <xdr:col>28</xdr:col>
      <xdr:colOff>591910</xdr:colOff>
      <xdr:row>18</xdr:row>
      <xdr:rowOff>22845</xdr:rowOff>
    </xdr:from>
    <xdr:to>
      <xdr:col>31</xdr:col>
      <xdr:colOff>24568</xdr:colOff>
      <xdr:row>19</xdr:row>
      <xdr:rowOff>140985</xdr:rowOff>
    </xdr:to>
    <xdr:sp macro="" textlink="">
      <xdr:nvSpPr>
        <xdr:cNvPr id="40" name="TextBox 39">
          <a:extLst>
            <a:ext uri="{FF2B5EF4-FFF2-40B4-BE49-F238E27FC236}">
              <a16:creationId xmlns:a16="http://schemas.microsoft.com/office/drawing/2014/main" id="{8F91917A-9335-42FA-967E-C383BFBBD304}"/>
            </a:ext>
          </a:extLst>
        </xdr:cNvPr>
        <xdr:cNvSpPr txBox="1"/>
      </xdr:nvSpPr>
      <xdr:spPr>
        <a:xfrm>
          <a:off x="17660710" y="3337545"/>
          <a:ext cx="1261458" cy="302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rgbClr val="6372A4"/>
              </a:solidFill>
            </a:rPr>
            <a:t>Blanace</a:t>
          </a:r>
        </a:p>
      </xdr:txBody>
    </xdr:sp>
    <xdr:clientData/>
  </xdr:twoCellAnchor>
  <xdr:twoCellAnchor editAs="oneCell">
    <xdr:from>
      <xdr:col>7</xdr:col>
      <xdr:colOff>176390</xdr:colOff>
      <xdr:row>3</xdr:row>
      <xdr:rowOff>60854</xdr:rowOff>
    </xdr:from>
    <xdr:to>
      <xdr:col>25</xdr:col>
      <xdr:colOff>0</xdr:colOff>
      <xdr:row>5</xdr:row>
      <xdr:rowOff>92603</xdr:rowOff>
    </xdr:to>
    <mc:AlternateContent xmlns:mc="http://schemas.openxmlformats.org/markup-compatibility/2006" xmlns:a14="http://schemas.microsoft.com/office/drawing/2010/main">
      <mc:Choice Requires="a14">
        <xdr:graphicFrame macro="">
          <xdr:nvGraphicFramePr>
            <xdr:cNvPr id="41" name="Month 4">
              <a:extLst>
                <a:ext uri="{FF2B5EF4-FFF2-40B4-BE49-F238E27FC236}">
                  <a16:creationId xmlns:a16="http://schemas.microsoft.com/office/drawing/2014/main" id="{E03B9359-E29D-4D4D-B1E4-4477320FCAF7}"/>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4454703" y="608542"/>
              <a:ext cx="10824985" cy="396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484187</xdr:colOff>
      <xdr:row>17</xdr:row>
      <xdr:rowOff>5081</xdr:rowOff>
    </xdr:from>
    <xdr:to>
      <xdr:col>23</xdr:col>
      <xdr:colOff>381000</xdr:colOff>
      <xdr:row>19</xdr:row>
      <xdr:rowOff>0</xdr:rowOff>
    </xdr:to>
    <xdr:sp macro="" textlink="">
      <xdr:nvSpPr>
        <xdr:cNvPr id="43" name="TextBox 42">
          <a:extLst>
            <a:ext uri="{FF2B5EF4-FFF2-40B4-BE49-F238E27FC236}">
              <a16:creationId xmlns:a16="http://schemas.microsoft.com/office/drawing/2014/main" id="{4C415654-D953-4353-BAA2-4B04906F9EC4}"/>
            </a:ext>
          </a:extLst>
        </xdr:cNvPr>
        <xdr:cNvSpPr txBox="1"/>
      </xdr:nvSpPr>
      <xdr:spPr>
        <a:xfrm>
          <a:off x="13285787" y="3135631"/>
          <a:ext cx="1116013"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1">
              <a:solidFill>
                <a:srgbClr val="6372A4"/>
              </a:solidFill>
            </a:rPr>
            <a:t>Blanace:</a:t>
          </a:r>
        </a:p>
      </xdr:txBody>
    </xdr:sp>
    <xdr:clientData/>
  </xdr:twoCellAnchor>
  <xdr:twoCellAnchor>
    <xdr:from>
      <xdr:col>23</xdr:col>
      <xdr:colOff>486582</xdr:colOff>
      <xdr:row>26</xdr:row>
      <xdr:rowOff>95670</xdr:rowOff>
    </xdr:from>
    <xdr:to>
      <xdr:col>25</xdr:col>
      <xdr:colOff>29608</xdr:colOff>
      <xdr:row>28</xdr:row>
      <xdr:rowOff>90589</xdr:rowOff>
    </xdr:to>
    <xdr:sp macro="" textlink="Processing!E14">
      <xdr:nvSpPr>
        <xdr:cNvPr id="46" name="TextBox 45">
          <a:extLst>
            <a:ext uri="{FF2B5EF4-FFF2-40B4-BE49-F238E27FC236}">
              <a16:creationId xmlns:a16="http://schemas.microsoft.com/office/drawing/2014/main" id="{24FD9400-51D0-4B25-AC93-99A575E414F4}"/>
            </a:ext>
          </a:extLst>
        </xdr:cNvPr>
        <xdr:cNvSpPr txBox="1"/>
      </xdr:nvSpPr>
      <xdr:spPr>
        <a:xfrm>
          <a:off x="14507382" y="4883570"/>
          <a:ext cx="762226"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FE3DA70-869E-43C1-9FD3-A5DC7BFFC055}" type="TxLink">
            <a:rPr lang="en-US" sz="1400" b="0" i="0" u="none" strike="noStrike">
              <a:solidFill>
                <a:schemeClr val="tx2">
                  <a:lumMod val="25000"/>
                  <a:lumOff val="75000"/>
                </a:schemeClr>
              </a:solidFill>
              <a:latin typeface="Aptos Narrow"/>
              <a:ea typeface="+mn-ea"/>
              <a:cs typeface="+mn-cs"/>
            </a:rPr>
            <a:pPr marL="0" indent="0" algn="r"/>
            <a:t>$18,904</a:t>
          </a:fld>
          <a:endParaRPr lang="en-US" sz="1600" b="1" i="1" u="none" strike="noStrike">
            <a:solidFill>
              <a:schemeClr val="tx2">
                <a:lumMod val="25000"/>
                <a:lumOff val="75000"/>
              </a:schemeClr>
            </a:solidFill>
            <a:latin typeface="Aptos Narrow"/>
            <a:ea typeface="+mn-ea"/>
            <a:cs typeface="+mn-cs"/>
          </a:endParaRPr>
        </a:p>
      </xdr:txBody>
    </xdr:sp>
    <xdr:clientData/>
  </xdr:twoCellAnchor>
  <xdr:twoCellAnchor>
    <xdr:from>
      <xdr:col>9</xdr:col>
      <xdr:colOff>108480</xdr:colOff>
      <xdr:row>19</xdr:row>
      <xdr:rowOff>23811</xdr:rowOff>
    </xdr:from>
    <xdr:to>
      <xdr:col>11</xdr:col>
      <xdr:colOff>412750</xdr:colOff>
      <xdr:row>24</xdr:row>
      <xdr:rowOff>105833</xdr:rowOff>
    </xdr:to>
    <xdr:grpSp>
      <xdr:nvGrpSpPr>
        <xdr:cNvPr id="63" name="Group 62">
          <a:extLst>
            <a:ext uri="{FF2B5EF4-FFF2-40B4-BE49-F238E27FC236}">
              <a16:creationId xmlns:a16="http://schemas.microsoft.com/office/drawing/2014/main" id="{DDEBA6F7-B3D7-4B6A-8EDD-228D11242A1E}"/>
            </a:ext>
          </a:extLst>
        </xdr:cNvPr>
        <xdr:cNvGrpSpPr/>
      </xdr:nvGrpSpPr>
      <xdr:grpSpPr>
        <a:xfrm>
          <a:off x="5518680" y="3562878"/>
          <a:ext cx="1506537" cy="1013355"/>
          <a:chOff x="8096251" y="4802187"/>
          <a:chExt cx="859536" cy="499682"/>
        </a:xfrm>
      </xdr:grpSpPr>
      <xdr:sp macro="" textlink="">
        <xdr:nvSpPr>
          <xdr:cNvPr id="64" name="Oval 63">
            <a:extLst>
              <a:ext uri="{FF2B5EF4-FFF2-40B4-BE49-F238E27FC236}">
                <a16:creationId xmlns:a16="http://schemas.microsoft.com/office/drawing/2014/main" id="{6930E3E6-F895-E6FD-6BD5-CCCEA9726AAD}"/>
              </a:ext>
            </a:extLst>
          </xdr:cNvPr>
          <xdr:cNvSpPr/>
        </xdr:nvSpPr>
        <xdr:spPr>
          <a:xfrm>
            <a:off x="8310563" y="4802187"/>
            <a:ext cx="457200" cy="457200"/>
          </a:xfrm>
          <a:prstGeom prst="ellipse">
            <a:avLst/>
          </a:prstGeom>
          <a:solidFill>
            <a:srgbClr val="8D76FC">
              <a:alpha val="54000"/>
            </a:srgbClr>
          </a:solidFill>
          <a:ln w="12700">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Rectangle 64">
            <a:extLst>
              <a:ext uri="{FF2B5EF4-FFF2-40B4-BE49-F238E27FC236}">
                <a16:creationId xmlns:a16="http://schemas.microsoft.com/office/drawing/2014/main" id="{F7089649-D27C-3A15-F428-A696D8692D74}"/>
              </a:ext>
            </a:extLst>
          </xdr:cNvPr>
          <xdr:cNvSpPr/>
        </xdr:nvSpPr>
        <xdr:spPr>
          <a:xfrm>
            <a:off x="8096251" y="5064125"/>
            <a:ext cx="859536" cy="237744"/>
          </a:xfrm>
          <a:prstGeom prst="rect">
            <a:avLst/>
          </a:prstGeom>
          <a:solidFill>
            <a:srgbClr val="1012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162275</xdr:colOff>
      <xdr:row>7</xdr:row>
      <xdr:rowOff>21167</xdr:rowOff>
    </xdr:from>
    <xdr:to>
      <xdr:col>16</xdr:col>
      <xdr:colOff>317500</xdr:colOff>
      <xdr:row>36</xdr:row>
      <xdr:rowOff>158751</xdr:rowOff>
    </xdr:to>
    <xdr:graphicFrame macro="">
      <xdr:nvGraphicFramePr>
        <xdr:cNvPr id="66" name="Chart 65">
          <a:extLst>
            <a:ext uri="{FF2B5EF4-FFF2-40B4-BE49-F238E27FC236}">
              <a16:creationId xmlns:a16="http://schemas.microsoft.com/office/drawing/2014/main" id="{02410A8A-1EFA-4F1B-8913-7E2B2870F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xdr:col>
      <xdr:colOff>319267</xdr:colOff>
      <xdr:row>8</xdr:row>
      <xdr:rowOff>174412</xdr:rowOff>
    </xdr:from>
    <xdr:to>
      <xdr:col>9</xdr:col>
      <xdr:colOff>412750</xdr:colOff>
      <xdr:row>10</xdr:row>
      <xdr:rowOff>116415</xdr:rowOff>
    </xdr:to>
    <xdr:sp macro="" textlink="Processing!G24">
      <xdr:nvSpPr>
        <xdr:cNvPr id="67" name="TextBox 66">
          <a:extLst>
            <a:ext uri="{FF2B5EF4-FFF2-40B4-BE49-F238E27FC236}">
              <a16:creationId xmlns:a16="http://schemas.microsoft.com/office/drawing/2014/main" id="{F6C0530F-2462-4B70-9714-BFA16E2FFD90}"/>
            </a:ext>
          </a:extLst>
        </xdr:cNvPr>
        <xdr:cNvSpPr txBox="1"/>
      </xdr:nvSpPr>
      <xdr:spPr>
        <a:xfrm>
          <a:off x="4616100" y="1613745"/>
          <a:ext cx="1321150" cy="301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08A0B92-63FC-41E0-9F26-27CEB23E9605}" type="TxLink">
            <a:rPr lang="en-US" sz="2000" b="1" i="1" u="none" strike="noStrike">
              <a:solidFill>
                <a:schemeClr val="bg1"/>
              </a:solidFill>
              <a:latin typeface="Aptos Narrow"/>
              <a:ea typeface="+mn-ea"/>
              <a:cs typeface="+mn-cs"/>
            </a:rPr>
            <a:pPr marL="0" indent="0" algn="l"/>
            <a:t>Invest</a:t>
          </a:fld>
          <a:endParaRPr lang="en-US" sz="2000" b="1" i="1" u="none" strike="noStrike">
            <a:solidFill>
              <a:schemeClr val="bg1"/>
            </a:solidFill>
            <a:latin typeface="Aptos Narrow"/>
            <a:ea typeface="+mn-ea"/>
            <a:cs typeface="+mn-cs"/>
          </a:endParaRPr>
        </a:p>
      </xdr:txBody>
    </xdr:sp>
    <xdr:clientData/>
  </xdr:twoCellAnchor>
  <xdr:twoCellAnchor>
    <xdr:from>
      <xdr:col>9</xdr:col>
      <xdr:colOff>338670</xdr:colOff>
      <xdr:row>8</xdr:row>
      <xdr:rowOff>171768</xdr:rowOff>
    </xdr:from>
    <xdr:to>
      <xdr:col>11</xdr:col>
      <xdr:colOff>105833</xdr:colOff>
      <xdr:row>10</xdr:row>
      <xdr:rowOff>166686</xdr:rowOff>
    </xdr:to>
    <xdr:sp macro="" textlink="Processing!H24">
      <xdr:nvSpPr>
        <xdr:cNvPr id="68" name="TextBox 67">
          <a:extLst>
            <a:ext uri="{FF2B5EF4-FFF2-40B4-BE49-F238E27FC236}">
              <a16:creationId xmlns:a16="http://schemas.microsoft.com/office/drawing/2014/main" id="{4A5A2348-E994-464C-9D98-DC29826372CD}"/>
            </a:ext>
          </a:extLst>
        </xdr:cNvPr>
        <xdr:cNvSpPr txBox="1"/>
      </xdr:nvSpPr>
      <xdr:spPr>
        <a:xfrm>
          <a:off x="5863170" y="1611101"/>
          <a:ext cx="994830" cy="354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14A13A3-2F80-4D92-BA43-F3C4056C2E86}" type="TxLink">
            <a:rPr lang="en-US" sz="2000" b="0" i="0" u="none" strike="noStrike">
              <a:solidFill>
                <a:schemeClr val="tx2">
                  <a:lumMod val="25000"/>
                  <a:lumOff val="75000"/>
                </a:schemeClr>
              </a:solidFill>
              <a:latin typeface="Aptos Narrow"/>
              <a:ea typeface="+mn-ea"/>
              <a:cs typeface="+mn-cs"/>
            </a:rPr>
            <a:pPr marL="0" indent="0" algn="l"/>
            <a:t>$121</a:t>
          </a:fld>
          <a:endParaRPr lang="en-US" sz="2000" b="0" i="0" u="none" strike="noStrike">
            <a:solidFill>
              <a:schemeClr val="tx2">
                <a:lumMod val="25000"/>
                <a:lumOff val="75000"/>
              </a:schemeClr>
            </a:solidFill>
            <a:latin typeface="Aptos Narrow"/>
            <a:ea typeface="+mn-ea"/>
            <a:cs typeface="+mn-cs"/>
          </a:endParaRPr>
        </a:p>
      </xdr:txBody>
    </xdr:sp>
    <xdr:clientData/>
  </xdr:twoCellAnchor>
  <xdr:twoCellAnchor>
    <xdr:from>
      <xdr:col>23</xdr:col>
      <xdr:colOff>538420</xdr:colOff>
      <xdr:row>30</xdr:row>
      <xdr:rowOff>177785</xdr:rowOff>
    </xdr:from>
    <xdr:to>
      <xdr:col>25</xdr:col>
      <xdr:colOff>305583</xdr:colOff>
      <xdr:row>32</xdr:row>
      <xdr:rowOff>172704</xdr:rowOff>
    </xdr:to>
    <xdr:sp macro="" textlink="Processing!O20">
      <xdr:nvSpPr>
        <xdr:cNvPr id="71" name="TextBox 70">
          <a:extLst>
            <a:ext uri="{FF2B5EF4-FFF2-40B4-BE49-F238E27FC236}">
              <a16:creationId xmlns:a16="http://schemas.microsoft.com/office/drawing/2014/main" id="{54542245-D6DA-432C-9D61-395B40788A86}"/>
            </a:ext>
          </a:extLst>
        </xdr:cNvPr>
        <xdr:cNvSpPr txBox="1"/>
      </xdr:nvSpPr>
      <xdr:spPr>
        <a:xfrm>
          <a:off x="14559220" y="5702285"/>
          <a:ext cx="986363"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EC8FCC-96DD-489D-9D1F-BDA06E3B6D0B}" type="TxLink">
            <a:rPr lang="en-US" sz="1200" b="0" i="0" u="none" strike="noStrike">
              <a:solidFill>
                <a:schemeClr val="tx2">
                  <a:lumMod val="25000"/>
                  <a:lumOff val="75000"/>
                </a:schemeClr>
              </a:solidFill>
              <a:latin typeface="Aptos Narrow"/>
              <a:ea typeface="+mn-ea"/>
              <a:cs typeface="+mn-cs"/>
            </a:rPr>
            <a:pPr marL="0" indent="0" algn="l"/>
            <a:t> $95.42 </a:t>
          </a:fld>
          <a:endParaRPr lang="en-US" sz="1200" b="0" i="0" u="none" strike="noStrike">
            <a:solidFill>
              <a:schemeClr val="tx2">
                <a:lumMod val="25000"/>
                <a:lumOff val="75000"/>
              </a:schemeClr>
            </a:solidFill>
            <a:latin typeface="Aptos Narrow"/>
            <a:ea typeface="+mn-ea"/>
            <a:cs typeface="+mn-cs"/>
          </a:endParaRPr>
        </a:p>
      </xdr:txBody>
    </xdr:sp>
    <xdr:clientData/>
  </xdr:twoCellAnchor>
  <xdr:twoCellAnchor>
    <xdr:from>
      <xdr:col>23</xdr:col>
      <xdr:colOff>317881</xdr:colOff>
      <xdr:row>33</xdr:row>
      <xdr:rowOff>8860</xdr:rowOff>
    </xdr:from>
    <xdr:to>
      <xdr:col>25</xdr:col>
      <xdr:colOff>85045</xdr:colOff>
      <xdr:row>35</xdr:row>
      <xdr:rowOff>3779</xdr:rowOff>
    </xdr:to>
    <xdr:sp macro="" textlink="Processing!F35">
      <xdr:nvSpPr>
        <xdr:cNvPr id="78" name="TextBox 77">
          <a:extLst>
            <a:ext uri="{FF2B5EF4-FFF2-40B4-BE49-F238E27FC236}">
              <a16:creationId xmlns:a16="http://schemas.microsoft.com/office/drawing/2014/main" id="{BDCBF484-E7EC-4AE8-B3AC-A99F4BBBEDF2}"/>
            </a:ext>
          </a:extLst>
        </xdr:cNvPr>
        <xdr:cNvSpPr txBox="1"/>
      </xdr:nvSpPr>
      <xdr:spPr>
        <a:xfrm>
          <a:off x="14338681" y="6085810"/>
          <a:ext cx="986364"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A5ADB9-2CC4-4604-9A35-AA2E683E5678}" type="TxLink">
            <a:rPr lang="en-US" sz="1400" b="0" i="0" u="none" strike="noStrike">
              <a:solidFill>
                <a:schemeClr val="tx2">
                  <a:lumMod val="25000"/>
                  <a:lumOff val="75000"/>
                </a:schemeClr>
              </a:solidFill>
              <a:latin typeface="Aptos Narrow"/>
              <a:ea typeface="+mn-ea"/>
              <a:cs typeface="+mn-cs"/>
            </a:rPr>
            <a:pPr marL="0" indent="0" algn="ctr"/>
            <a:t>$99</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21</xdr:col>
      <xdr:colOff>468313</xdr:colOff>
      <xdr:row>21</xdr:row>
      <xdr:rowOff>103186</xdr:rowOff>
    </xdr:from>
    <xdr:to>
      <xdr:col>22</xdr:col>
      <xdr:colOff>222886</xdr:colOff>
      <xdr:row>23</xdr:row>
      <xdr:rowOff>103821</xdr:rowOff>
    </xdr:to>
    <xdr:sp macro="" textlink="">
      <xdr:nvSpPr>
        <xdr:cNvPr id="79" name="Oval 78">
          <a:extLst>
            <a:ext uri="{FF2B5EF4-FFF2-40B4-BE49-F238E27FC236}">
              <a16:creationId xmlns:a16="http://schemas.microsoft.com/office/drawing/2014/main" id="{8B22C1E1-9C90-4501-84D7-0211548DA2E3}"/>
            </a:ext>
          </a:extLst>
        </xdr:cNvPr>
        <xdr:cNvSpPr/>
      </xdr:nvSpPr>
      <xdr:spPr>
        <a:xfrm>
          <a:off x="13269913" y="3970336"/>
          <a:ext cx="364173" cy="368935"/>
        </a:xfrm>
        <a:prstGeom prst="ellipse">
          <a:avLst/>
        </a:prstGeom>
        <a:solidFill>
          <a:srgbClr val="FF00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23</xdr:row>
      <xdr:rowOff>168274</xdr:rowOff>
    </xdr:from>
    <xdr:to>
      <xdr:col>22</xdr:col>
      <xdr:colOff>222886</xdr:colOff>
      <xdr:row>25</xdr:row>
      <xdr:rowOff>168909</xdr:rowOff>
    </xdr:to>
    <xdr:sp macro="" textlink="">
      <xdr:nvSpPr>
        <xdr:cNvPr id="80" name="Oval 79">
          <a:extLst>
            <a:ext uri="{FF2B5EF4-FFF2-40B4-BE49-F238E27FC236}">
              <a16:creationId xmlns:a16="http://schemas.microsoft.com/office/drawing/2014/main" id="{F60A8F0E-7B4C-4C4E-AC18-881C196ED42C}"/>
            </a:ext>
          </a:extLst>
        </xdr:cNvPr>
        <xdr:cNvSpPr/>
      </xdr:nvSpPr>
      <xdr:spPr>
        <a:xfrm>
          <a:off x="13269913" y="4403724"/>
          <a:ext cx="364173" cy="368935"/>
        </a:xfrm>
        <a:prstGeom prst="ellipse">
          <a:avLst/>
        </a:prstGeom>
        <a:solidFill>
          <a:srgbClr val="00B0F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26</xdr:row>
      <xdr:rowOff>50800</xdr:rowOff>
    </xdr:from>
    <xdr:to>
      <xdr:col>22</xdr:col>
      <xdr:colOff>222886</xdr:colOff>
      <xdr:row>28</xdr:row>
      <xdr:rowOff>51435</xdr:rowOff>
    </xdr:to>
    <xdr:sp macro="" textlink="">
      <xdr:nvSpPr>
        <xdr:cNvPr id="81" name="Oval 80">
          <a:extLst>
            <a:ext uri="{FF2B5EF4-FFF2-40B4-BE49-F238E27FC236}">
              <a16:creationId xmlns:a16="http://schemas.microsoft.com/office/drawing/2014/main" id="{A1A9078A-E164-4F6D-ACE1-0D159148D0CB}"/>
            </a:ext>
          </a:extLst>
        </xdr:cNvPr>
        <xdr:cNvSpPr/>
      </xdr:nvSpPr>
      <xdr:spPr>
        <a:xfrm>
          <a:off x="13269913" y="4838700"/>
          <a:ext cx="364173" cy="368935"/>
        </a:xfrm>
        <a:prstGeom prst="ellipse">
          <a:avLst/>
        </a:prstGeom>
        <a:solidFill>
          <a:srgbClr val="AD27FE"/>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28</xdr:row>
      <xdr:rowOff>115888</xdr:rowOff>
    </xdr:from>
    <xdr:to>
      <xdr:col>22</xdr:col>
      <xdr:colOff>222886</xdr:colOff>
      <xdr:row>30</xdr:row>
      <xdr:rowOff>116523</xdr:rowOff>
    </xdr:to>
    <xdr:sp macro="" textlink="">
      <xdr:nvSpPr>
        <xdr:cNvPr id="82" name="Oval 81">
          <a:extLst>
            <a:ext uri="{FF2B5EF4-FFF2-40B4-BE49-F238E27FC236}">
              <a16:creationId xmlns:a16="http://schemas.microsoft.com/office/drawing/2014/main" id="{DBA5E123-DF08-4395-BCA1-ACAB253EF4C6}"/>
            </a:ext>
          </a:extLst>
        </xdr:cNvPr>
        <xdr:cNvSpPr/>
      </xdr:nvSpPr>
      <xdr:spPr>
        <a:xfrm>
          <a:off x="13269913" y="5272088"/>
          <a:ext cx="364173" cy="368935"/>
        </a:xfrm>
        <a:prstGeom prst="ellipse">
          <a:avLst/>
        </a:prstGeom>
        <a:solidFill>
          <a:srgbClr val="3A5CE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30</xdr:row>
      <xdr:rowOff>180976</xdr:rowOff>
    </xdr:from>
    <xdr:to>
      <xdr:col>22</xdr:col>
      <xdr:colOff>222886</xdr:colOff>
      <xdr:row>32</xdr:row>
      <xdr:rowOff>181611</xdr:rowOff>
    </xdr:to>
    <xdr:sp macro="" textlink="">
      <xdr:nvSpPr>
        <xdr:cNvPr id="83" name="Oval 82">
          <a:extLst>
            <a:ext uri="{FF2B5EF4-FFF2-40B4-BE49-F238E27FC236}">
              <a16:creationId xmlns:a16="http://schemas.microsoft.com/office/drawing/2014/main" id="{0F74DEA8-B2DC-41D5-BFB0-7B8896BCDBBA}"/>
            </a:ext>
          </a:extLst>
        </xdr:cNvPr>
        <xdr:cNvSpPr/>
      </xdr:nvSpPr>
      <xdr:spPr>
        <a:xfrm>
          <a:off x="13269913" y="5705476"/>
          <a:ext cx="364173" cy="368935"/>
        </a:xfrm>
        <a:prstGeom prst="ellipse">
          <a:avLst/>
        </a:prstGeom>
        <a:solidFill>
          <a:srgbClr val="8D76FC"/>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33</xdr:row>
      <xdr:rowOff>63499</xdr:rowOff>
    </xdr:from>
    <xdr:to>
      <xdr:col>22</xdr:col>
      <xdr:colOff>222886</xdr:colOff>
      <xdr:row>35</xdr:row>
      <xdr:rowOff>64134</xdr:rowOff>
    </xdr:to>
    <xdr:sp macro="" textlink="">
      <xdr:nvSpPr>
        <xdr:cNvPr id="84" name="Oval 83">
          <a:extLst>
            <a:ext uri="{FF2B5EF4-FFF2-40B4-BE49-F238E27FC236}">
              <a16:creationId xmlns:a16="http://schemas.microsoft.com/office/drawing/2014/main" id="{E6486B95-38EC-464A-A9CB-5132E9B9F5DC}"/>
            </a:ext>
          </a:extLst>
        </xdr:cNvPr>
        <xdr:cNvSpPr/>
      </xdr:nvSpPr>
      <xdr:spPr>
        <a:xfrm>
          <a:off x="13269913" y="6140449"/>
          <a:ext cx="364173" cy="368935"/>
        </a:xfrm>
        <a:prstGeom prst="ellipse">
          <a:avLst/>
        </a:prstGeom>
        <a:solidFill>
          <a:srgbClr val="00206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500063</xdr:colOff>
      <xdr:row>21</xdr:row>
      <xdr:rowOff>126999</xdr:rowOff>
    </xdr:from>
    <xdr:to>
      <xdr:col>22</xdr:col>
      <xdr:colOff>201439</xdr:colOff>
      <xdr:row>23</xdr:row>
      <xdr:rowOff>36194</xdr:rowOff>
    </xdr:to>
    <xdr:pic>
      <xdr:nvPicPr>
        <xdr:cNvPr id="85" name="Graphic 84" descr="Treasure chest outline">
          <a:extLst>
            <a:ext uri="{FF2B5EF4-FFF2-40B4-BE49-F238E27FC236}">
              <a16:creationId xmlns:a16="http://schemas.microsoft.com/office/drawing/2014/main" id="{A00C3BA6-BE67-4443-8BD2-8E620F707F9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3301663" y="3994149"/>
          <a:ext cx="310976" cy="277495"/>
        </a:xfrm>
        <a:prstGeom prst="rect">
          <a:avLst/>
        </a:prstGeom>
      </xdr:spPr>
    </xdr:pic>
    <xdr:clientData/>
  </xdr:twoCellAnchor>
  <xdr:twoCellAnchor editAs="oneCell">
    <xdr:from>
      <xdr:col>21</xdr:col>
      <xdr:colOff>497625</xdr:colOff>
      <xdr:row>24</xdr:row>
      <xdr:rowOff>37250</xdr:rowOff>
    </xdr:from>
    <xdr:to>
      <xdr:col>22</xdr:col>
      <xdr:colOff>160758</xdr:colOff>
      <xdr:row>25</xdr:row>
      <xdr:rowOff>129007</xdr:rowOff>
    </xdr:to>
    <xdr:pic>
      <xdr:nvPicPr>
        <xdr:cNvPr id="86" name="Graphic 85" descr="Bar graph with upward trend with solid fill">
          <a:extLst>
            <a:ext uri="{FF2B5EF4-FFF2-40B4-BE49-F238E27FC236}">
              <a16:creationId xmlns:a16="http://schemas.microsoft.com/office/drawing/2014/main" id="{23D8A3B9-734C-4733-8A9F-E7DDC70A1FCA}"/>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3299225" y="4456850"/>
          <a:ext cx="272733" cy="275907"/>
        </a:xfrm>
        <a:prstGeom prst="rect">
          <a:avLst/>
        </a:prstGeom>
      </xdr:spPr>
    </xdr:pic>
    <xdr:clientData/>
  </xdr:twoCellAnchor>
  <xdr:twoCellAnchor editAs="oneCell">
    <xdr:from>
      <xdr:col>21</xdr:col>
      <xdr:colOff>528319</xdr:colOff>
      <xdr:row>26</xdr:row>
      <xdr:rowOff>80085</xdr:rowOff>
    </xdr:from>
    <xdr:to>
      <xdr:col>22</xdr:col>
      <xdr:colOff>188381</xdr:colOff>
      <xdr:row>27</xdr:row>
      <xdr:rowOff>171842</xdr:rowOff>
    </xdr:to>
    <xdr:pic>
      <xdr:nvPicPr>
        <xdr:cNvPr id="87" name="Graphic 86" descr="Bar graph with downward trend with solid fill">
          <a:extLst>
            <a:ext uri="{FF2B5EF4-FFF2-40B4-BE49-F238E27FC236}">
              <a16:creationId xmlns:a16="http://schemas.microsoft.com/office/drawing/2014/main" id="{5A6F29FE-5DCE-4C13-9148-84336DF5F948}"/>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329919" y="4867985"/>
          <a:ext cx="269662" cy="275907"/>
        </a:xfrm>
        <a:prstGeom prst="rect">
          <a:avLst/>
        </a:prstGeom>
      </xdr:spPr>
    </xdr:pic>
    <xdr:clientData/>
  </xdr:twoCellAnchor>
  <xdr:twoCellAnchor editAs="oneCell">
    <xdr:from>
      <xdr:col>21</xdr:col>
      <xdr:colOff>511388</xdr:colOff>
      <xdr:row>28</xdr:row>
      <xdr:rowOff>156069</xdr:rowOff>
    </xdr:from>
    <xdr:to>
      <xdr:col>22</xdr:col>
      <xdr:colOff>171189</xdr:colOff>
      <xdr:row>30</xdr:row>
      <xdr:rowOff>65264</xdr:rowOff>
    </xdr:to>
    <xdr:pic>
      <xdr:nvPicPr>
        <xdr:cNvPr id="88" name="Graphic 87" descr="Open hand with plant with solid fill">
          <a:extLst>
            <a:ext uri="{FF2B5EF4-FFF2-40B4-BE49-F238E27FC236}">
              <a16:creationId xmlns:a16="http://schemas.microsoft.com/office/drawing/2014/main" id="{47A5C134-297F-417F-9AB7-A2956E448157}"/>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312988" y="5312269"/>
          <a:ext cx="269401" cy="277495"/>
        </a:xfrm>
        <a:prstGeom prst="rect">
          <a:avLst/>
        </a:prstGeom>
      </xdr:spPr>
    </xdr:pic>
    <xdr:clientData/>
  </xdr:twoCellAnchor>
  <xdr:twoCellAnchor>
    <xdr:from>
      <xdr:col>21</xdr:col>
      <xdr:colOff>505665</xdr:colOff>
      <xdr:row>31</xdr:row>
      <xdr:rowOff>40155</xdr:rowOff>
    </xdr:from>
    <xdr:to>
      <xdr:col>22</xdr:col>
      <xdr:colOff>168798</xdr:colOff>
      <xdr:row>32</xdr:row>
      <xdr:rowOff>131913</xdr:rowOff>
    </xdr:to>
    <xdr:sp macro="" textlink="">
      <xdr:nvSpPr>
        <xdr:cNvPr id="89" name="TextBox 88">
          <a:extLst>
            <a:ext uri="{FF2B5EF4-FFF2-40B4-BE49-F238E27FC236}">
              <a16:creationId xmlns:a16="http://schemas.microsoft.com/office/drawing/2014/main" id="{33708271-726D-4D44-B068-0BA5E9267673}"/>
            </a:ext>
          </a:extLst>
        </xdr:cNvPr>
        <xdr:cNvSpPr txBox="1"/>
      </xdr:nvSpPr>
      <xdr:spPr>
        <a:xfrm>
          <a:off x="13307265" y="5748805"/>
          <a:ext cx="272733" cy="275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a:t>
          </a:r>
          <a:endParaRPr lang="en-US" sz="2400">
            <a:solidFill>
              <a:schemeClr val="bg1"/>
            </a:solidFill>
          </a:endParaRPr>
        </a:p>
      </xdr:txBody>
    </xdr:sp>
    <xdr:clientData/>
  </xdr:twoCellAnchor>
  <xdr:twoCellAnchor editAs="oneCell">
    <xdr:from>
      <xdr:col>21</xdr:col>
      <xdr:colOff>521542</xdr:colOff>
      <xdr:row>33</xdr:row>
      <xdr:rowOff>109723</xdr:rowOff>
    </xdr:from>
    <xdr:to>
      <xdr:col>22</xdr:col>
      <xdr:colOff>186371</xdr:colOff>
      <xdr:row>35</xdr:row>
      <xdr:rowOff>18918</xdr:rowOff>
    </xdr:to>
    <xdr:pic>
      <xdr:nvPicPr>
        <xdr:cNvPr id="90" name="Graphic 89" descr="Bullseye with solid fill">
          <a:extLst>
            <a:ext uri="{FF2B5EF4-FFF2-40B4-BE49-F238E27FC236}">
              <a16:creationId xmlns:a16="http://schemas.microsoft.com/office/drawing/2014/main" id="{D8D12B93-E3FC-4914-A71E-D2B6C87BBE87}"/>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3323142" y="6186673"/>
          <a:ext cx="274429" cy="277495"/>
        </a:xfrm>
        <a:prstGeom prst="rect">
          <a:avLst/>
        </a:prstGeom>
      </xdr:spPr>
    </xdr:pic>
    <xdr:clientData/>
  </xdr:twoCellAnchor>
  <xdr:twoCellAnchor>
    <xdr:from>
      <xdr:col>4</xdr:col>
      <xdr:colOff>575469</xdr:colOff>
      <xdr:row>17</xdr:row>
      <xdr:rowOff>140460</xdr:rowOff>
    </xdr:from>
    <xdr:to>
      <xdr:col>6</xdr:col>
      <xdr:colOff>382323</xdr:colOff>
      <xdr:row>20</xdr:row>
      <xdr:rowOff>53145</xdr:rowOff>
    </xdr:to>
    <xdr:sp macro="" textlink="">
      <xdr:nvSpPr>
        <xdr:cNvPr id="91" name="TextBox 90">
          <a:extLst>
            <a:ext uri="{FF2B5EF4-FFF2-40B4-BE49-F238E27FC236}">
              <a16:creationId xmlns:a16="http://schemas.microsoft.com/office/drawing/2014/main" id="{CEAE90A6-B724-484C-A4CF-08594F46E905}"/>
            </a:ext>
          </a:extLst>
        </xdr:cNvPr>
        <xdr:cNvSpPr txBox="1"/>
      </xdr:nvSpPr>
      <xdr:spPr>
        <a:xfrm>
          <a:off x="3013869" y="3271010"/>
          <a:ext cx="1026054" cy="46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372A4"/>
              </a:solidFill>
            </a:rPr>
            <a:t>Income</a:t>
          </a:r>
          <a:endParaRPr lang="en-US" sz="1100">
            <a:solidFill>
              <a:srgbClr val="6372A4"/>
            </a:solidFill>
          </a:endParaRPr>
        </a:p>
      </xdr:txBody>
    </xdr:sp>
    <xdr:clientData/>
  </xdr:twoCellAnchor>
  <xdr:twoCellAnchor>
    <xdr:from>
      <xdr:col>5</xdr:col>
      <xdr:colOff>51594</xdr:colOff>
      <xdr:row>22</xdr:row>
      <xdr:rowOff>63202</xdr:rowOff>
    </xdr:from>
    <xdr:to>
      <xdr:col>6</xdr:col>
      <xdr:colOff>443178</xdr:colOff>
      <xdr:row>24</xdr:row>
      <xdr:rowOff>87016</xdr:rowOff>
    </xdr:to>
    <xdr:sp macro="" textlink="">
      <xdr:nvSpPr>
        <xdr:cNvPr id="92" name="TextBox 91">
          <a:extLst>
            <a:ext uri="{FF2B5EF4-FFF2-40B4-BE49-F238E27FC236}">
              <a16:creationId xmlns:a16="http://schemas.microsoft.com/office/drawing/2014/main" id="{959540EB-2F63-4F10-9738-751590E6507E}"/>
            </a:ext>
          </a:extLst>
        </xdr:cNvPr>
        <xdr:cNvSpPr txBox="1"/>
      </xdr:nvSpPr>
      <xdr:spPr>
        <a:xfrm>
          <a:off x="3099594" y="4114502"/>
          <a:ext cx="1001184" cy="392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Expensev</a:t>
          </a:r>
        </a:p>
      </xdr:txBody>
    </xdr:sp>
    <xdr:clientData/>
  </xdr:twoCellAnchor>
  <xdr:twoCellAnchor>
    <xdr:from>
      <xdr:col>5</xdr:col>
      <xdr:colOff>185207</xdr:colOff>
      <xdr:row>28</xdr:row>
      <xdr:rowOff>146045</xdr:rowOff>
    </xdr:from>
    <xdr:to>
      <xdr:col>6</xdr:col>
      <xdr:colOff>552979</xdr:colOff>
      <xdr:row>30</xdr:row>
      <xdr:rowOff>53441</xdr:rowOff>
    </xdr:to>
    <xdr:sp macro="" textlink="">
      <xdr:nvSpPr>
        <xdr:cNvPr id="93" name="TextBox 92">
          <a:extLst>
            <a:ext uri="{FF2B5EF4-FFF2-40B4-BE49-F238E27FC236}">
              <a16:creationId xmlns:a16="http://schemas.microsoft.com/office/drawing/2014/main" id="{25A7B16E-9261-43DF-970E-F4A8BC09B7D0}"/>
            </a:ext>
          </a:extLst>
        </xdr:cNvPr>
        <xdr:cNvSpPr txBox="1"/>
      </xdr:nvSpPr>
      <xdr:spPr>
        <a:xfrm>
          <a:off x="3233207" y="5302245"/>
          <a:ext cx="977372" cy="275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Debts</a:t>
          </a:r>
          <a:endParaRPr lang="en-US" sz="1100">
            <a:solidFill>
              <a:srgbClr val="6372A4"/>
            </a:solidFill>
          </a:endParaRPr>
        </a:p>
        <a:p>
          <a:endParaRPr lang="en-US" sz="1100"/>
        </a:p>
      </xdr:txBody>
    </xdr:sp>
    <xdr:clientData/>
  </xdr:twoCellAnchor>
  <xdr:twoCellAnchor>
    <xdr:from>
      <xdr:col>5</xdr:col>
      <xdr:colOff>43656</xdr:colOff>
      <xdr:row>33</xdr:row>
      <xdr:rowOff>13230</xdr:rowOff>
    </xdr:from>
    <xdr:to>
      <xdr:col>6</xdr:col>
      <xdr:colOff>353219</xdr:colOff>
      <xdr:row>36</xdr:row>
      <xdr:rowOff>52918</xdr:rowOff>
    </xdr:to>
    <xdr:sp macro="" textlink="">
      <xdr:nvSpPr>
        <xdr:cNvPr id="94" name="TextBox 93">
          <a:extLst>
            <a:ext uri="{FF2B5EF4-FFF2-40B4-BE49-F238E27FC236}">
              <a16:creationId xmlns:a16="http://schemas.microsoft.com/office/drawing/2014/main" id="{B75FACF8-E2E6-4088-A685-844A67E405A6}"/>
            </a:ext>
          </a:extLst>
        </xdr:cNvPr>
        <xdr:cNvSpPr txBox="1"/>
      </xdr:nvSpPr>
      <xdr:spPr>
        <a:xfrm>
          <a:off x="3091656" y="6090180"/>
          <a:ext cx="919163" cy="59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Fin Goals</a:t>
          </a:r>
        </a:p>
      </xdr:txBody>
    </xdr:sp>
    <xdr:clientData/>
  </xdr:twoCellAnchor>
  <xdr:twoCellAnchor>
    <xdr:from>
      <xdr:col>4</xdr:col>
      <xdr:colOff>598583</xdr:colOff>
      <xdr:row>26</xdr:row>
      <xdr:rowOff>9761</xdr:rowOff>
    </xdr:from>
    <xdr:to>
      <xdr:col>6</xdr:col>
      <xdr:colOff>345983</xdr:colOff>
      <xdr:row>28</xdr:row>
      <xdr:rowOff>24861</xdr:rowOff>
    </xdr:to>
    <xdr:sp macro="" textlink="">
      <xdr:nvSpPr>
        <xdr:cNvPr id="95" name="TextBox 94">
          <a:extLst>
            <a:ext uri="{FF2B5EF4-FFF2-40B4-BE49-F238E27FC236}">
              <a16:creationId xmlns:a16="http://schemas.microsoft.com/office/drawing/2014/main" id="{61416A73-DBB2-4C22-A98F-390920F7F283}"/>
            </a:ext>
          </a:extLst>
        </xdr:cNvPr>
        <xdr:cNvSpPr txBox="1"/>
      </xdr:nvSpPr>
      <xdr:spPr>
        <a:xfrm>
          <a:off x="3036983" y="4797661"/>
          <a:ext cx="966600" cy="38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6372A4"/>
              </a:solidFill>
            </a:rPr>
            <a:t>Investmants</a:t>
          </a:r>
        </a:p>
      </xdr:txBody>
    </xdr:sp>
    <xdr:clientData/>
  </xdr:twoCellAnchor>
  <xdr:twoCellAnchor>
    <xdr:from>
      <xdr:col>4</xdr:col>
      <xdr:colOff>454327</xdr:colOff>
      <xdr:row>14</xdr:row>
      <xdr:rowOff>54595</xdr:rowOff>
    </xdr:from>
    <xdr:to>
      <xdr:col>6</xdr:col>
      <xdr:colOff>500818</xdr:colOff>
      <xdr:row>15</xdr:row>
      <xdr:rowOff>172735</xdr:rowOff>
    </xdr:to>
    <xdr:sp macro="" textlink="">
      <xdr:nvSpPr>
        <xdr:cNvPr id="96" name="TextBox 95">
          <a:extLst>
            <a:ext uri="{FF2B5EF4-FFF2-40B4-BE49-F238E27FC236}">
              <a16:creationId xmlns:a16="http://schemas.microsoft.com/office/drawing/2014/main" id="{F76F24B8-AFAB-4C84-B53F-EA6C67F1EE96}"/>
            </a:ext>
          </a:extLst>
        </xdr:cNvPr>
        <xdr:cNvSpPr txBox="1"/>
      </xdr:nvSpPr>
      <xdr:spPr>
        <a:xfrm>
          <a:off x="2892727" y="2632695"/>
          <a:ext cx="1265691" cy="302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rgbClr val="6372A4"/>
              </a:solidFill>
            </a:rPr>
            <a:t>Blanace</a:t>
          </a:r>
        </a:p>
      </xdr:txBody>
    </xdr:sp>
    <xdr:clientData/>
  </xdr:twoCellAnchor>
  <xdr:twoCellAnchor>
    <xdr:from>
      <xdr:col>22</xdr:col>
      <xdr:colOff>259293</xdr:colOff>
      <xdr:row>21</xdr:row>
      <xdr:rowOff>117929</xdr:rowOff>
    </xdr:from>
    <xdr:to>
      <xdr:col>23</xdr:col>
      <xdr:colOff>571499</xdr:colOff>
      <xdr:row>23</xdr:row>
      <xdr:rowOff>74082</xdr:rowOff>
    </xdr:to>
    <xdr:sp macro="" textlink="Processing!A16">
      <xdr:nvSpPr>
        <xdr:cNvPr id="97" name="TextBox 96">
          <a:extLst>
            <a:ext uri="{FF2B5EF4-FFF2-40B4-BE49-F238E27FC236}">
              <a16:creationId xmlns:a16="http://schemas.microsoft.com/office/drawing/2014/main" id="{AC39ACD5-DE83-449F-997C-F839D8AC23AA}"/>
            </a:ext>
          </a:extLst>
        </xdr:cNvPr>
        <xdr:cNvSpPr txBox="1"/>
      </xdr:nvSpPr>
      <xdr:spPr>
        <a:xfrm>
          <a:off x="13670493" y="3985079"/>
          <a:ext cx="921806" cy="324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a:solidFill>
                <a:srgbClr val="6372A4"/>
              </a:solidFill>
              <a:latin typeface="Aptos Narrow"/>
              <a:ea typeface="+mn-ea"/>
              <a:cs typeface="+mn-cs"/>
            </a:rPr>
            <a:t>Budegting</a:t>
          </a:r>
        </a:p>
      </xdr:txBody>
    </xdr:sp>
    <xdr:clientData/>
  </xdr:twoCellAnchor>
  <xdr:twoCellAnchor>
    <xdr:from>
      <xdr:col>23</xdr:col>
      <xdr:colOff>536730</xdr:colOff>
      <xdr:row>21</xdr:row>
      <xdr:rowOff>122253</xdr:rowOff>
    </xdr:from>
    <xdr:to>
      <xdr:col>25</xdr:col>
      <xdr:colOff>303894</xdr:colOff>
      <xdr:row>23</xdr:row>
      <xdr:rowOff>117172</xdr:rowOff>
    </xdr:to>
    <xdr:sp macro="" textlink="Processing!B16">
      <xdr:nvSpPr>
        <xdr:cNvPr id="98" name="TextBox 97">
          <a:extLst>
            <a:ext uri="{FF2B5EF4-FFF2-40B4-BE49-F238E27FC236}">
              <a16:creationId xmlns:a16="http://schemas.microsoft.com/office/drawing/2014/main" id="{F8EB3919-B3B3-4CD4-AEF8-15FA13A64176}"/>
            </a:ext>
          </a:extLst>
        </xdr:cNvPr>
        <xdr:cNvSpPr txBox="1"/>
      </xdr:nvSpPr>
      <xdr:spPr>
        <a:xfrm>
          <a:off x="14557530" y="3989403"/>
          <a:ext cx="986364"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C9D3E8D-52D8-4F2C-8048-765B1CA0816D}" type="TxLink">
            <a:rPr lang="en-US" sz="1400" b="0" i="0" u="none" strike="noStrike">
              <a:solidFill>
                <a:schemeClr val="tx2">
                  <a:lumMod val="25000"/>
                  <a:lumOff val="75000"/>
                </a:schemeClr>
              </a:solidFill>
              <a:latin typeface="Aptos Narrow"/>
            </a:rPr>
            <a:pPr algn="l"/>
            <a:t>$281,096</a:t>
          </a:fld>
          <a:endParaRPr lang="en-US" sz="1600" b="1" i="1">
            <a:solidFill>
              <a:schemeClr val="tx2">
                <a:lumMod val="25000"/>
                <a:lumOff val="75000"/>
              </a:schemeClr>
            </a:solidFill>
          </a:endParaRPr>
        </a:p>
      </xdr:txBody>
    </xdr:sp>
    <xdr:clientData/>
  </xdr:twoCellAnchor>
  <xdr:twoCellAnchor>
    <xdr:from>
      <xdr:col>23</xdr:col>
      <xdr:colOff>501617</xdr:colOff>
      <xdr:row>24</xdr:row>
      <xdr:rowOff>4953</xdr:rowOff>
    </xdr:from>
    <xdr:to>
      <xdr:col>25</xdr:col>
      <xdr:colOff>33304</xdr:colOff>
      <xdr:row>25</xdr:row>
      <xdr:rowOff>181301</xdr:rowOff>
    </xdr:to>
    <xdr:sp macro="" textlink="Processing!D14">
      <xdr:nvSpPr>
        <xdr:cNvPr id="99" name="TextBox 98">
          <a:extLst>
            <a:ext uri="{FF2B5EF4-FFF2-40B4-BE49-F238E27FC236}">
              <a16:creationId xmlns:a16="http://schemas.microsoft.com/office/drawing/2014/main" id="{E6A38E6D-B017-4FEC-9A41-88F9801225BC}"/>
            </a:ext>
          </a:extLst>
        </xdr:cNvPr>
        <xdr:cNvSpPr txBox="1"/>
      </xdr:nvSpPr>
      <xdr:spPr>
        <a:xfrm>
          <a:off x="14522417" y="4424553"/>
          <a:ext cx="750887" cy="360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BCFE1B3-8319-4848-AD16-7195E0564B31}" type="TxLink">
            <a:rPr lang="en-US" sz="1400" b="0" i="0" u="none" strike="noStrike">
              <a:solidFill>
                <a:schemeClr val="tx2">
                  <a:lumMod val="25000"/>
                  <a:lumOff val="75000"/>
                </a:schemeClr>
              </a:solidFill>
              <a:latin typeface="Aptos Narrow"/>
            </a:rPr>
            <a:pPr algn="r"/>
            <a:t>$17,800</a:t>
          </a:fld>
          <a:endParaRPr lang="en-US" sz="1600" b="1" i="1">
            <a:solidFill>
              <a:schemeClr val="tx2">
                <a:lumMod val="25000"/>
                <a:lumOff val="75000"/>
              </a:schemeClr>
            </a:solidFill>
          </a:endParaRPr>
        </a:p>
      </xdr:txBody>
    </xdr:sp>
    <xdr:clientData/>
  </xdr:twoCellAnchor>
  <xdr:twoCellAnchor>
    <xdr:from>
      <xdr:col>23</xdr:col>
      <xdr:colOff>565457</xdr:colOff>
      <xdr:row>28</xdr:row>
      <xdr:rowOff>145142</xdr:rowOff>
    </xdr:from>
    <xdr:to>
      <xdr:col>25</xdr:col>
      <xdr:colOff>81643</xdr:colOff>
      <xdr:row>30</xdr:row>
      <xdr:rowOff>136448</xdr:rowOff>
    </xdr:to>
    <xdr:sp macro="" textlink="Processing!H24">
      <xdr:nvSpPr>
        <xdr:cNvPr id="100" name="TextBox 99">
          <a:extLst>
            <a:ext uri="{FF2B5EF4-FFF2-40B4-BE49-F238E27FC236}">
              <a16:creationId xmlns:a16="http://schemas.microsoft.com/office/drawing/2014/main" id="{186B1929-4DC2-49FF-8371-6D9D4D58F8E8}"/>
            </a:ext>
          </a:extLst>
        </xdr:cNvPr>
        <xdr:cNvSpPr txBox="1"/>
      </xdr:nvSpPr>
      <xdr:spPr>
        <a:xfrm>
          <a:off x="14586257" y="5301342"/>
          <a:ext cx="735386" cy="359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14A13A3-2F80-4D92-BA43-F3C4056C2E86}" type="TxLink">
            <a:rPr lang="en-US" sz="1400" b="0" i="0" u="none" strike="noStrike">
              <a:solidFill>
                <a:schemeClr val="tx2">
                  <a:lumMod val="25000"/>
                  <a:lumOff val="75000"/>
                </a:schemeClr>
              </a:solidFill>
              <a:latin typeface="Aptos Narrow"/>
              <a:ea typeface="+mn-ea"/>
              <a:cs typeface="+mn-cs"/>
            </a:rPr>
            <a:pPr marL="0" indent="0" algn="l"/>
            <a:t>$121</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13</xdr:col>
      <xdr:colOff>52918</xdr:colOff>
      <xdr:row>9</xdr:row>
      <xdr:rowOff>14632</xdr:rowOff>
    </xdr:from>
    <xdr:to>
      <xdr:col>20</xdr:col>
      <xdr:colOff>285750</xdr:colOff>
      <xdr:row>30</xdr:row>
      <xdr:rowOff>169333</xdr:rowOff>
    </xdr:to>
    <xdr:sp macro="" textlink="">
      <xdr:nvSpPr>
        <xdr:cNvPr id="114" name="Rectangle: Rounded Corners 113">
          <a:extLst>
            <a:ext uri="{FF2B5EF4-FFF2-40B4-BE49-F238E27FC236}">
              <a16:creationId xmlns:a16="http://schemas.microsoft.com/office/drawing/2014/main" id="{E5DC6899-D6C7-8FE3-5F51-4CB1BC5DEB69}"/>
            </a:ext>
          </a:extLst>
        </xdr:cNvPr>
        <xdr:cNvSpPr/>
      </xdr:nvSpPr>
      <xdr:spPr>
        <a:xfrm>
          <a:off x="8032751" y="1633882"/>
          <a:ext cx="4529666" cy="3932951"/>
        </a:xfrm>
        <a:prstGeom prst="roundRect">
          <a:avLst>
            <a:gd name="adj" fmla="val 12947"/>
          </a:avLst>
        </a:prstGeom>
        <a:gradFill>
          <a:gsLst>
            <a:gs pos="0">
              <a:srgbClr val="323687"/>
            </a:gs>
            <a:gs pos="41000">
              <a:srgbClr val="181A3C"/>
            </a:gs>
          </a:gsLst>
          <a:lin ang="7800000" scaled="0"/>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xdr:txBody>
    </xdr:sp>
    <xdr:clientData/>
  </xdr:twoCellAnchor>
  <xdr:twoCellAnchor>
    <xdr:from>
      <xdr:col>12</xdr:col>
      <xdr:colOff>592667</xdr:colOff>
      <xdr:row>11</xdr:row>
      <xdr:rowOff>31751</xdr:rowOff>
    </xdr:from>
    <xdr:to>
      <xdr:col>20</xdr:col>
      <xdr:colOff>254000</xdr:colOff>
      <xdr:row>26</xdr:row>
      <xdr:rowOff>76201</xdr:rowOff>
    </xdr:to>
    <xdr:graphicFrame macro="">
      <xdr:nvGraphicFramePr>
        <xdr:cNvPr id="113" name="Chart 112">
          <a:extLst>
            <a:ext uri="{FF2B5EF4-FFF2-40B4-BE49-F238E27FC236}">
              <a16:creationId xmlns:a16="http://schemas.microsoft.com/office/drawing/2014/main" id="{72C963BC-3527-46C8-84F9-B231A19E4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511509</xdr:colOff>
      <xdr:row>0</xdr:row>
      <xdr:rowOff>0</xdr:rowOff>
    </xdr:from>
    <xdr:to>
      <xdr:col>26</xdr:col>
      <xdr:colOff>299961</xdr:colOff>
      <xdr:row>39</xdr:row>
      <xdr:rowOff>133350</xdr:rowOff>
    </xdr:to>
    <xdr:sp macro="" textlink="">
      <xdr:nvSpPr>
        <xdr:cNvPr id="2" name="MyDachbord">
          <a:extLst>
            <a:ext uri="{FF2B5EF4-FFF2-40B4-BE49-F238E27FC236}">
              <a16:creationId xmlns:a16="http://schemas.microsoft.com/office/drawing/2014/main" id="{D6F0A66E-4F54-413D-A169-6FF832693A28}"/>
            </a:ext>
          </a:extLst>
        </xdr:cNvPr>
        <xdr:cNvSpPr/>
      </xdr:nvSpPr>
      <xdr:spPr>
        <a:xfrm>
          <a:off x="2340309" y="0"/>
          <a:ext cx="13809252" cy="7315200"/>
        </a:xfrm>
        <a:prstGeom prst="roundRect">
          <a:avLst>
            <a:gd name="adj" fmla="val 6771"/>
          </a:avLst>
        </a:prstGeom>
        <a:gradFill flip="none" rotWithShape="1">
          <a:gsLst>
            <a:gs pos="0">
              <a:srgbClr val="1F2357"/>
            </a:gs>
            <a:gs pos="75000">
              <a:srgbClr val="10123B"/>
            </a:gs>
          </a:gsLst>
          <a:lin ang="8100000" scaled="1"/>
          <a:tileRect/>
        </a:gradFill>
        <a:ln w="9525">
          <a:gradFill flip="none" rotWithShape="1">
            <a:gsLst>
              <a:gs pos="0">
                <a:srgbClr val="10123B"/>
              </a:gs>
              <a:gs pos="100000">
                <a:srgbClr val="333787"/>
              </a:gs>
            </a:gsLst>
            <a:lin ang="8100000" scaled="1"/>
            <a:tileRect/>
          </a:gradFill>
        </a:ln>
        <a:effectLst>
          <a:outerShdw blurRad="444500" dist="2032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115285</xdr:colOff>
      <xdr:row>1</xdr:row>
      <xdr:rowOff>73902</xdr:rowOff>
    </xdr:from>
    <xdr:to>
      <xdr:col>25</xdr:col>
      <xdr:colOff>485277</xdr:colOff>
      <xdr:row>37</xdr:row>
      <xdr:rowOff>116522</xdr:rowOff>
    </xdr:to>
    <xdr:sp macro="" textlink="">
      <xdr:nvSpPr>
        <xdr:cNvPr id="3" name="MyDashboard">
          <a:extLst>
            <a:ext uri="{FF2B5EF4-FFF2-40B4-BE49-F238E27FC236}">
              <a16:creationId xmlns:a16="http://schemas.microsoft.com/office/drawing/2014/main" id="{E36EE628-FB9A-4838-AAE0-7F13BC88561A}"/>
            </a:ext>
          </a:extLst>
        </xdr:cNvPr>
        <xdr:cNvSpPr/>
      </xdr:nvSpPr>
      <xdr:spPr>
        <a:xfrm>
          <a:off x="2553685" y="258052"/>
          <a:ext cx="13171592" cy="6672020"/>
        </a:xfrm>
        <a:prstGeom prst="roundRect">
          <a:avLst>
            <a:gd name="adj" fmla="val 8581"/>
          </a:avLst>
        </a:prstGeom>
        <a:gradFill flip="none" rotWithShape="1">
          <a:gsLst>
            <a:gs pos="0">
              <a:srgbClr val="20245A"/>
            </a:gs>
            <a:gs pos="75000">
              <a:srgbClr val="10123B"/>
            </a:gs>
          </a:gsLst>
          <a:lin ang="8100000" scaled="1"/>
          <a:tileRect/>
        </a:gradFill>
        <a:ln w="9525">
          <a:gradFill flip="none" rotWithShape="1">
            <a:gsLst>
              <a:gs pos="0">
                <a:srgbClr val="10123B"/>
              </a:gs>
              <a:gs pos="100000">
                <a:srgbClr val="333787"/>
              </a:gs>
            </a:gsLst>
            <a:lin ang="8100000" scaled="1"/>
            <a:tileRect/>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501950</xdr:colOff>
      <xdr:row>6</xdr:row>
      <xdr:rowOff>152216</xdr:rowOff>
    </xdr:from>
    <xdr:to>
      <xdr:col>6</xdr:col>
      <xdr:colOff>572966</xdr:colOff>
      <xdr:row>35</xdr:row>
      <xdr:rowOff>76333</xdr:rowOff>
    </xdr:to>
    <xdr:sp macro="" textlink="">
      <xdr:nvSpPr>
        <xdr:cNvPr id="4" name="Rectangle: Rounded Corners 3">
          <a:extLst>
            <a:ext uri="{FF2B5EF4-FFF2-40B4-BE49-F238E27FC236}">
              <a16:creationId xmlns:a16="http://schemas.microsoft.com/office/drawing/2014/main" id="{EBD47431-3715-4EDD-9737-BE403B0B029C}"/>
            </a:ext>
          </a:extLst>
        </xdr:cNvPr>
        <xdr:cNvSpPr/>
      </xdr:nvSpPr>
      <xdr:spPr>
        <a:xfrm>
          <a:off x="2957283" y="1231716"/>
          <a:ext cx="1298683" cy="5141700"/>
        </a:xfrm>
        <a:prstGeom prst="roundRect">
          <a:avLst>
            <a:gd name="adj" fmla="val 12947"/>
          </a:avLst>
        </a:prstGeom>
        <a:gradFill>
          <a:gsLst>
            <a:gs pos="0">
              <a:srgbClr val="323687"/>
            </a:gs>
            <a:gs pos="41000">
              <a:srgbClr val="181A3C"/>
            </a:gs>
          </a:gsLst>
          <a:lin ang="7800000" scaled="0"/>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xdr:txBody>
    </xdr:sp>
    <xdr:clientData/>
  </xdr:twoCellAnchor>
  <xdr:twoCellAnchor>
    <xdr:from>
      <xdr:col>6</xdr:col>
      <xdr:colOff>606727</xdr:colOff>
      <xdr:row>3</xdr:row>
      <xdr:rowOff>32201</xdr:rowOff>
    </xdr:from>
    <xdr:to>
      <xdr:col>25</xdr:col>
      <xdr:colOff>204984</xdr:colOff>
      <xdr:row>5</xdr:row>
      <xdr:rowOff>108401</xdr:rowOff>
    </xdr:to>
    <xdr:sp macro="" textlink="">
      <xdr:nvSpPr>
        <xdr:cNvPr id="5" name="Rectangle: Rounded Corners 4">
          <a:extLst>
            <a:ext uri="{FF2B5EF4-FFF2-40B4-BE49-F238E27FC236}">
              <a16:creationId xmlns:a16="http://schemas.microsoft.com/office/drawing/2014/main" id="{63CD5EB5-CE50-487E-AC61-1388BBA85A2C}"/>
            </a:ext>
          </a:extLst>
        </xdr:cNvPr>
        <xdr:cNvSpPr/>
      </xdr:nvSpPr>
      <xdr:spPr>
        <a:xfrm>
          <a:off x="4264327" y="584651"/>
          <a:ext cx="11180657" cy="444500"/>
        </a:xfrm>
        <a:prstGeom prst="roundRect">
          <a:avLst>
            <a:gd name="adj" fmla="val 38854"/>
          </a:avLst>
        </a:prstGeom>
        <a:gradFill>
          <a:gsLst>
            <a:gs pos="87935">
              <a:srgbClr val="1B1D45"/>
            </a:gs>
            <a:gs pos="20100">
              <a:srgbClr val="2D3078"/>
            </a:gs>
            <a:gs pos="0">
              <a:srgbClr val="323687"/>
            </a:gs>
            <a:gs pos="100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223764</xdr:colOff>
      <xdr:row>7</xdr:row>
      <xdr:rowOff>54880</xdr:rowOff>
    </xdr:from>
    <xdr:to>
      <xdr:col>25</xdr:col>
      <xdr:colOff>371084</xdr:colOff>
      <xdr:row>19</xdr:row>
      <xdr:rowOff>54879</xdr:rowOff>
    </xdr:to>
    <xdr:sp macro="" textlink="">
      <xdr:nvSpPr>
        <xdr:cNvPr id="8" name="Rectangle: Rounded Corners 7">
          <a:extLst>
            <a:ext uri="{FF2B5EF4-FFF2-40B4-BE49-F238E27FC236}">
              <a16:creationId xmlns:a16="http://schemas.microsoft.com/office/drawing/2014/main" id="{CF06AF1A-278B-4712-B562-EEE4CF2906CB}"/>
            </a:ext>
          </a:extLst>
        </xdr:cNvPr>
        <xdr:cNvSpPr/>
      </xdr:nvSpPr>
      <xdr:spPr>
        <a:xfrm>
          <a:off x="13025364" y="1343930"/>
          <a:ext cx="2585720" cy="2209799"/>
        </a:xfrm>
        <a:prstGeom prst="roundRect">
          <a:avLst>
            <a:gd name="adj" fmla="val 11111"/>
          </a:avLst>
        </a:prstGeom>
        <a:gradFill>
          <a:gsLst>
            <a:gs pos="0">
              <a:srgbClr val="323687"/>
            </a:gs>
            <a:gs pos="80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226256</xdr:colOff>
      <xdr:row>20</xdr:row>
      <xdr:rowOff>151900</xdr:rowOff>
    </xdr:from>
    <xdr:to>
      <xdr:col>25</xdr:col>
      <xdr:colOff>384159</xdr:colOff>
      <xdr:row>35</xdr:row>
      <xdr:rowOff>174759</xdr:rowOff>
    </xdr:to>
    <xdr:sp macro="" textlink="">
      <xdr:nvSpPr>
        <xdr:cNvPr id="11" name="Rectangle: Rounded Corners 10">
          <a:extLst>
            <a:ext uri="{FF2B5EF4-FFF2-40B4-BE49-F238E27FC236}">
              <a16:creationId xmlns:a16="http://schemas.microsoft.com/office/drawing/2014/main" id="{4E665F1D-0884-476B-8F7F-EC2FA7204CF0}"/>
            </a:ext>
          </a:extLst>
        </xdr:cNvPr>
        <xdr:cNvSpPr/>
      </xdr:nvSpPr>
      <xdr:spPr>
        <a:xfrm>
          <a:off x="13027856" y="3834900"/>
          <a:ext cx="2596303" cy="2785109"/>
        </a:xfrm>
        <a:prstGeom prst="roundRect">
          <a:avLst>
            <a:gd name="adj" fmla="val 13567"/>
          </a:avLst>
        </a:prstGeom>
        <a:gradFill>
          <a:gsLst>
            <a:gs pos="0">
              <a:srgbClr val="323687"/>
            </a:gs>
            <a:gs pos="74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158750</xdr:colOff>
      <xdr:row>8</xdr:row>
      <xdr:rowOff>74085</xdr:rowOff>
    </xdr:from>
    <xdr:to>
      <xdr:col>20</xdr:col>
      <xdr:colOff>486833</xdr:colOff>
      <xdr:row>34</xdr:row>
      <xdr:rowOff>105833</xdr:rowOff>
    </xdr:to>
    <xdr:sp macro="" textlink="">
      <xdr:nvSpPr>
        <xdr:cNvPr id="13" name="Rectangle: Rounded Corners 12">
          <a:extLst>
            <a:ext uri="{FF2B5EF4-FFF2-40B4-BE49-F238E27FC236}">
              <a16:creationId xmlns:a16="http://schemas.microsoft.com/office/drawing/2014/main" id="{F974ED69-2500-4723-B1F0-E5BB8BE435C2}"/>
            </a:ext>
          </a:extLst>
        </xdr:cNvPr>
        <xdr:cNvSpPr/>
      </xdr:nvSpPr>
      <xdr:spPr>
        <a:xfrm>
          <a:off x="4455583" y="1513418"/>
          <a:ext cx="8307917" cy="4709582"/>
        </a:xfrm>
        <a:prstGeom prst="roundRect">
          <a:avLst>
            <a:gd name="adj" fmla="val 10771"/>
          </a:avLst>
        </a:prstGeom>
        <a:gradFill>
          <a:gsLst>
            <a:gs pos="0">
              <a:srgbClr val="323687"/>
            </a:gs>
            <a:gs pos="63000">
              <a:srgbClr val="181A3C"/>
            </a:gs>
          </a:gsLst>
          <a:lin ang="6000000" scaled="0"/>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325437</xdr:colOff>
      <xdr:row>3</xdr:row>
      <xdr:rowOff>31751</xdr:rowOff>
    </xdr:from>
    <xdr:to>
      <xdr:col>7</xdr:col>
      <xdr:colOff>55562</xdr:colOff>
      <xdr:row>5</xdr:row>
      <xdr:rowOff>150811</xdr:rowOff>
    </xdr:to>
    <xdr:sp macro="" textlink="">
      <xdr:nvSpPr>
        <xdr:cNvPr id="14" name="TextBox 13">
          <a:extLst>
            <a:ext uri="{FF2B5EF4-FFF2-40B4-BE49-F238E27FC236}">
              <a16:creationId xmlns:a16="http://schemas.microsoft.com/office/drawing/2014/main" id="{25884F08-81E5-48CC-9DC3-2EECE2EBD667}"/>
            </a:ext>
          </a:extLst>
        </xdr:cNvPr>
        <xdr:cNvSpPr txBox="1"/>
      </xdr:nvSpPr>
      <xdr:spPr>
        <a:xfrm>
          <a:off x="3373437" y="584201"/>
          <a:ext cx="949325" cy="48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tx2">
                  <a:lumMod val="50000"/>
                  <a:lumOff val="50000"/>
                </a:schemeClr>
              </a:solidFill>
            </a:rPr>
            <a:t>PERSONAL</a:t>
          </a:r>
          <a:r>
            <a:rPr lang="en-US" sz="1100" b="1" i="1">
              <a:solidFill>
                <a:schemeClr val="tx2">
                  <a:lumMod val="50000"/>
                  <a:lumOff val="50000"/>
                </a:schemeClr>
              </a:solidFill>
            </a:rPr>
            <a:t> </a:t>
          </a:r>
        </a:p>
        <a:p>
          <a:r>
            <a:rPr lang="en-US" sz="1100" b="1" i="1">
              <a:solidFill>
                <a:schemeClr val="tx2">
                  <a:lumMod val="50000"/>
                  <a:lumOff val="50000"/>
                </a:schemeClr>
              </a:solidFill>
            </a:rPr>
            <a:t>FINACE</a:t>
          </a:r>
        </a:p>
      </xdr:txBody>
    </xdr:sp>
    <xdr:clientData/>
  </xdr:twoCellAnchor>
  <xdr:twoCellAnchor editAs="oneCell">
    <xdr:from>
      <xdr:col>4</xdr:col>
      <xdr:colOff>484187</xdr:colOff>
      <xdr:row>3</xdr:row>
      <xdr:rowOff>39687</xdr:rowOff>
    </xdr:from>
    <xdr:to>
      <xdr:col>5</xdr:col>
      <xdr:colOff>330199</xdr:colOff>
      <xdr:row>5</xdr:row>
      <xdr:rowOff>131762</xdr:rowOff>
    </xdr:to>
    <xdr:pic>
      <xdr:nvPicPr>
        <xdr:cNvPr id="15" name="Graphic 14" descr="Pie chart outline">
          <a:extLst>
            <a:ext uri="{FF2B5EF4-FFF2-40B4-BE49-F238E27FC236}">
              <a16:creationId xmlns:a16="http://schemas.microsoft.com/office/drawing/2014/main" id="{69045D28-CFD2-449E-9F04-7150A472EC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22587" y="592137"/>
          <a:ext cx="455612" cy="460375"/>
        </a:xfrm>
        <a:prstGeom prst="rect">
          <a:avLst/>
        </a:prstGeom>
      </xdr:spPr>
    </xdr:pic>
    <xdr:clientData/>
  </xdr:twoCellAnchor>
  <xdr:twoCellAnchor>
    <xdr:from>
      <xdr:col>5</xdr:col>
      <xdr:colOff>380998</xdr:colOff>
      <xdr:row>3</xdr:row>
      <xdr:rowOff>7939</xdr:rowOff>
    </xdr:from>
    <xdr:to>
      <xdr:col>5</xdr:col>
      <xdr:colOff>380999</xdr:colOff>
      <xdr:row>5</xdr:row>
      <xdr:rowOff>127002</xdr:rowOff>
    </xdr:to>
    <xdr:cxnSp macro="">
      <xdr:nvCxnSpPr>
        <xdr:cNvPr id="16" name="Straight Connector 15">
          <a:extLst>
            <a:ext uri="{FF2B5EF4-FFF2-40B4-BE49-F238E27FC236}">
              <a16:creationId xmlns:a16="http://schemas.microsoft.com/office/drawing/2014/main" id="{19FB716C-719E-487F-B4CC-1B23F24D63BF}"/>
            </a:ext>
          </a:extLst>
        </xdr:cNvPr>
        <xdr:cNvCxnSpPr/>
      </xdr:nvCxnSpPr>
      <xdr:spPr>
        <a:xfrm>
          <a:off x="3428998" y="560389"/>
          <a:ext cx="1" cy="487363"/>
        </a:xfrm>
        <a:prstGeom prst="line">
          <a:avLst/>
        </a:prstGeom>
        <a:ln>
          <a:solidFill>
            <a:schemeClr val="bg2"/>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1676</xdr:colOff>
      <xdr:row>10</xdr:row>
      <xdr:rowOff>79375</xdr:rowOff>
    </xdr:from>
    <xdr:to>
      <xdr:col>6</xdr:col>
      <xdr:colOff>414427</xdr:colOff>
      <xdr:row>12</xdr:row>
      <xdr:rowOff>47625</xdr:rowOff>
    </xdr:to>
    <xdr:sp macro="" textlink="">
      <xdr:nvSpPr>
        <xdr:cNvPr id="17" name="TextBox 16">
          <a:extLst>
            <a:ext uri="{FF2B5EF4-FFF2-40B4-BE49-F238E27FC236}">
              <a16:creationId xmlns:a16="http://schemas.microsoft.com/office/drawing/2014/main" id="{C1D449D4-8750-40AE-AC1F-EA601ED9D91A}"/>
            </a:ext>
          </a:extLst>
        </xdr:cNvPr>
        <xdr:cNvSpPr txBox="1"/>
      </xdr:nvSpPr>
      <xdr:spPr>
        <a:xfrm>
          <a:off x="3049676" y="1920875"/>
          <a:ext cx="1022351"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bg1"/>
              </a:solidFill>
            </a:rPr>
            <a:t>Dashboard</a:t>
          </a:r>
          <a:endParaRPr lang="en-US" sz="1100" b="1" i="1">
            <a:solidFill>
              <a:schemeClr val="bg1"/>
            </a:solidFill>
          </a:endParaRPr>
        </a:p>
        <a:p>
          <a:pPr algn="ctr"/>
          <a:endParaRPr lang="en-US" sz="1050">
            <a:solidFill>
              <a:schemeClr val="bg1"/>
            </a:solidFill>
          </a:endParaRPr>
        </a:p>
      </xdr:txBody>
    </xdr:sp>
    <xdr:clientData/>
  </xdr:twoCellAnchor>
  <xdr:twoCellAnchor editAs="oneCell">
    <xdr:from>
      <xdr:col>5</xdr:col>
      <xdr:colOff>40571</xdr:colOff>
      <xdr:row>6</xdr:row>
      <xdr:rowOff>103187</xdr:rowOff>
    </xdr:from>
    <xdr:to>
      <xdr:col>6</xdr:col>
      <xdr:colOff>343784</xdr:colOff>
      <xdr:row>11</xdr:row>
      <xdr:rowOff>31749</xdr:rowOff>
    </xdr:to>
    <xdr:pic>
      <xdr:nvPicPr>
        <xdr:cNvPr id="18" name="Graphic 17" descr="Home with solid fill">
          <a:hlinkClick xmlns:r="http://schemas.openxmlformats.org/officeDocument/2006/relationships" r:id="rId3"/>
          <a:extLst>
            <a:ext uri="{FF2B5EF4-FFF2-40B4-BE49-F238E27FC236}">
              <a16:creationId xmlns:a16="http://schemas.microsoft.com/office/drawing/2014/main" id="{660A60B6-0F1C-40F8-95F9-16E41F7E6E8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88571" y="1208087"/>
          <a:ext cx="912813" cy="849312"/>
        </a:xfrm>
        <a:prstGeom prst="rect">
          <a:avLst/>
        </a:prstGeom>
        <a:effectLst>
          <a:glow rad="127000">
            <a:srgbClr val="CEC5FF">
              <a:alpha val="43000"/>
            </a:srgbClr>
          </a:glow>
        </a:effectLst>
      </xdr:spPr>
    </xdr:pic>
    <xdr:clientData/>
  </xdr:twoCellAnchor>
  <xdr:twoCellAnchor>
    <xdr:from>
      <xdr:col>23</xdr:col>
      <xdr:colOff>127000</xdr:colOff>
      <xdr:row>17</xdr:row>
      <xdr:rowOff>13019</xdr:rowOff>
    </xdr:from>
    <xdr:to>
      <xdr:col>25</xdr:col>
      <xdr:colOff>23813</xdr:colOff>
      <xdr:row>19</xdr:row>
      <xdr:rowOff>7938</xdr:rowOff>
    </xdr:to>
    <xdr:sp macro="" textlink="Processing!K6">
      <xdr:nvSpPr>
        <xdr:cNvPr id="19" name="TextBox 18">
          <a:extLst>
            <a:ext uri="{FF2B5EF4-FFF2-40B4-BE49-F238E27FC236}">
              <a16:creationId xmlns:a16="http://schemas.microsoft.com/office/drawing/2014/main" id="{AFC37CA3-FFE4-4D8F-95A2-2D37CCD65C73}"/>
            </a:ext>
          </a:extLst>
        </xdr:cNvPr>
        <xdr:cNvSpPr txBox="1"/>
      </xdr:nvSpPr>
      <xdr:spPr>
        <a:xfrm>
          <a:off x="14147800" y="3143569"/>
          <a:ext cx="1116013"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E1FE0-426B-4395-AAC1-35A9723FF864}" type="TxLink">
            <a:rPr lang="en-US" sz="2000" b="0" i="0" u="none" strike="noStrike">
              <a:solidFill>
                <a:schemeClr val="bg1"/>
              </a:solidFill>
              <a:latin typeface="Aptos Narrow"/>
            </a:rPr>
            <a:pPr algn="ctr"/>
            <a:t>$3,980</a:t>
          </a:fld>
          <a:endParaRPr lang="en-US" sz="3600" b="1" i="1">
            <a:solidFill>
              <a:schemeClr val="bg1"/>
            </a:solidFill>
          </a:endParaRPr>
        </a:p>
      </xdr:txBody>
    </xdr:sp>
    <xdr:clientData/>
  </xdr:twoCellAnchor>
  <xdr:twoCellAnchor editAs="oneCell">
    <xdr:from>
      <xdr:col>5</xdr:col>
      <xdr:colOff>235792</xdr:colOff>
      <xdr:row>30</xdr:row>
      <xdr:rowOff>157349</xdr:rowOff>
    </xdr:from>
    <xdr:to>
      <xdr:col>6</xdr:col>
      <xdr:colOff>80404</xdr:colOff>
      <xdr:row>33</xdr:row>
      <xdr:rowOff>62660</xdr:rowOff>
    </xdr:to>
    <xdr:pic>
      <xdr:nvPicPr>
        <xdr:cNvPr id="20" name="Graphic 19" descr="Bullseye with solid fill">
          <a:hlinkClick xmlns:r="http://schemas.openxmlformats.org/officeDocument/2006/relationships" r:id="rId6"/>
          <a:extLst>
            <a:ext uri="{FF2B5EF4-FFF2-40B4-BE49-F238E27FC236}">
              <a16:creationId xmlns:a16="http://schemas.microsoft.com/office/drawing/2014/main" id="{298BD709-81CC-4EFB-B06A-F79129D3779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83792" y="5681849"/>
          <a:ext cx="454212" cy="457761"/>
        </a:xfrm>
        <a:prstGeom prst="rect">
          <a:avLst/>
        </a:prstGeom>
      </xdr:spPr>
    </xdr:pic>
    <xdr:clientData/>
  </xdr:twoCellAnchor>
  <xdr:twoCellAnchor editAs="oneCell">
    <xdr:from>
      <xdr:col>5</xdr:col>
      <xdr:colOff>249451</xdr:colOff>
      <xdr:row>24</xdr:row>
      <xdr:rowOff>44944</xdr:rowOff>
    </xdr:from>
    <xdr:to>
      <xdr:col>6</xdr:col>
      <xdr:colOff>94063</xdr:colOff>
      <xdr:row>26</xdr:row>
      <xdr:rowOff>141222</xdr:rowOff>
    </xdr:to>
    <xdr:pic>
      <xdr:nvPicPr>
        <xdr:cNvPr id="21" name="Graphic 20" descr="Open hand with plant with solid fill">
          <a:hlinkClick xmlns:r="http://schemas.openxmlformats.org/officeDocument/2006/relationships" r:id="rId9"/>
          <a:extLst>
            <a:ext uri="{FF2B5EF4-FFF2-40B4-BE49-F238E27FC236}">
              <a16:creationId xmlns:a16="http://schemas.microsoft.com/office/drawing/2014/main" id="{B28B7650-EDCA-4CA1-9153-9738DF7D6A3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97451" y="4464544"/>
          <a:ext cx="454212" cy="464578"/>
        </a:xfrm>
        <a:prstGeom prst="rect">
          <a:avLst/>
        </a:prstGeom>
      </xdr:spPr>
    </xdr:pic>
    <xdr:clientData/>
  </xdr:twoCellAnchor>
  <xdr:twoCellAnchor editAs="oneCell">
    <xdr:from>
      <xdr:col>5</xdr:col>
      <xdr:colOff>194943</xdr:colOff>
      <xdr:row>19</xdr:row>
      <xdr:rowOff>119771</xdr:rowOff>
    </xdr:from>
    <xdr:to>
      <xdr:col>6</xdr:col>
      <xdr:colOff>188632</xdr:colOff>
      <xdr:row>23</xdr:row>
      <xdr:rowOff>1245</xdr:rowOff>
    </xdr:to>
    <xdr:pic>
      <xdr:nvPicPr>
        <xdr:cNvPr id="22" name="Graphic 21" descr="Bar graph with downward trend with solid fill">
          <a:hlinkClick xmlns:r="http://schemas.openxmlformats.org/officeDocument/2006/relationships" r:id="rId12"/>
          <a:extLst>
            <a:ext uri="{FF2B5EF4-FFF2-40B4-BE49-F238E27FC236}">
              <a16:creationId xmlns:a16="http://schemas.microsoft.com/office/drawing/2014/main" id="{4345C7BC-A6F0-4592-B1F0-209C4794803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42943" y="3618621"/>
          <a:ext cx="603289" cy="618074"/>
        </a:xfrm>
        <a:prstGeom prst="rect">
          <a:avLst/>
        </a:prstGeom>
      </xdr:spPr>
    </xdr:pic>
    <xdr:clientData/>
  </xdr:twoCellAnchor>
  <xdr:twoCellAnchor editAs="oneCell">
    <xdr:from>
      <xdr:col>5</xdr:col>
      <xdr:colOff>203937</xdr:colOff>
      <xdr:row>15</xdr:row>
      <xdr:rowOff>148375</xdr:rowOff>
    </xdr:from>
    <xdr:to>
      <xdr:col>6</xdr:col>
      <xdr:colOff>158750</xdr:colOff>
      <xdr:row>18</xdr:row>
      <xdr:rowOff>166688</xdr:rowOff>
    </xdr:to>
    <xdr:pic>
      <xdr:nvPicPr>
        <xdr:cNvPr id="23" name="Graphic 22" descr="Bar graph with upward trend with solid fill">
          <a:hlinkClick xmlns:r="http://schemas.openxmlformats.org/officeDocument/2006/relationships" r:id="rId15"/>
          <a:extLst>
            <a:ext uri="{FF2B5EF4-FFF2-40B4-BE49-F238E27FC236}">
              <a16:creationId xmlns:a16="http://schemas.microsoft.com/office/drawing/2014/main" id="{5C4D33F3-D777-480D-B4E3-877FD6CA91D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51937" y="2910625"/>
          <a:ext cx="564413" cy="570763"/>
        </a:xfrm>
        <a:prstGeom prst="rect">
          <a:avLst/>
        </a:prstGeom>
      </xdr:spPr>
    </xdr:pic>
    <xdr:clientData/>
  </xdr:twoCellAnchor>
  <xdr:twoCellAnchor editAs="oneCell">
    <xdr:from>
      <xdr:col>5</xdr:col>
      <xdr:colOff>206375</xdr:colOff>
      <xdr:row>11</xdr:row>
      <xdr:rowOff>174624</xdr:rowOff>
    </xdr:from>
    <xdr:to>
      <xdr:col>6</xdr:col>
      <xdr:colOff>166687</xdr:colOff>
      <xdr:row>14</xdr:row>
      <xdr:rowOff>128512</xdr:rowOff>
    </xdr:to>
    <xdr:pic>
      <xdr:nvPicPr>
        <xdr:cNvPr id="24" name="Graphic 23" descr="Treasure chest outline">
          <a:hlinkClick xmlns:r="http://schemas.openxmlformats.org/officeDocument/2006/relationships" r:id="rId18"/>
          <a:extLst>
            <a:ext uri="{FF2B5EF4-FFF2-40B4-BE49-F238E27FC236}">
              <a16:creationId xmlns:a16="http://schemas.microsoft.com/office/drawing/2014/main" id="{0F67B103-4D04-4001-8226-27EBAD50904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254375" y="2200274"/>
          <a:ext cx="569912" cy="506338"/>
        </a:xfrm>
        <a:prstGeom prst="rect">
          <a:avLst/>
        </a:prstGeom>
      </xdr:spPr>
    </xdr:pic>
    <xdr:clientData/>
  </xdr:twoCellAnchor>
  <xdr:twoCellAnchor>
    <xdr:from>
      <xdr:col>22</xdr:col>
      <xdr:colOff>130969</xdr:colOff>
      <xdr:row>23</xdr:row>
      <xdr:rowOff>129877</xdr:rowOff>
    </xdr:from>
    <xdr:to>
      <xdr:col>23</xdr:col>
      <xdr:colOff>551656</xdr:colOff>
      <xdr:row>26</xdr:row>
      <xdr:rowOff>42562</xdr:rowOff>
    </xdr:to>
    <xdr:sp macro="" textlink="">
      <xdr:nvSpPr>
        <xdr:cNvPr id="25" name="TextBox 24">
          <a:extLst>
            <a:ext uri="{FF2B5EF4-FFF2-40B4-BE49-F238E27FC236}">
              <a16:creationId xmlns:a16="http://schemas.microsoft.com/office/drawing/2014/main" id="{183E748B-B67C-403C-93A5-30FE92EF69E4}"/>
            </a:ext>
          </a:extLst>
        </xdr:cNvPr>
        <xdr:cNvSpPr txBox="1"/>
      </xdr:nvSpPr>
      <xdr:spPr>
        <a:xfrm>
          <a:off x="13542169" y="4365327"/>
          <a:ext cx="1030287" cy="46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372A4"/>
              </a:solidFill>
              <a:latin typeface="+mn-lt"/>
              <a:ea typeface="+mn-ea"/>
              <a:cs typeface="+mn-cs"/>
            </a:rPr>
            <a:t>In</a:t>
          </a:r>
          <a:r>
            <a:rPr lang="en-US" sz="1400">
              <a:solidFill>
                <a:srgbClr val="6372A4"/>
              </a:solidFill>
            </a:rPr>
            <a:t>come</a:t>
          </a:r>
          <a:endParaRPr lang="en-US" sz="1100">
            <a:solidFill>
              <a:srgbClr val="6372A4"/>
            </a:solidFill>
          </a:endParaRPr>
        </a:p>
      </xdr:txBody>
    </xdr:sp>
    <xdr:clientData/>
  </xdr:twoCellAnchor>
  <xdr:twoCellAnchor>
    <xdr:from>
      <xdr:col>22</xdr:col>
      <xdr:colOff>273844</xdr:colOff>
      <xdr:row>26</xdr:row>
      <xdr:rowOff>105537</xdr:rowOff>
    </xdr:from>
    <xdr:to>
      <xdr:col>24</xdr:col>
      <xdr:colOff>51594</xdr:colOff>
      <xdr:row>28</xdr:row>
      <xdr:rowOff>129350</xdr:rowOff>
    </xdr:to>
    <xdr:sp macro="" textlink="">
      <xdr:nvSpPr>
        <xdr:cNvPr id="26" name="TextBox 25">
          <a:extLst>
            <a:ext uri="{FF2B5EF4-FFF2-40B4-BE49-F238E27FC236}">
              <a16:creationId xmlns:a16="http://schemas.microsoft.com/office/drawing/2014/main" id="{17151428-93DA-4827-B309-C0E601EED25F}"/>
            </a:ext>
          </a:extLst>
        </xdr:cNvPr>
        <xdr:cNvSpPr txBox="1"/>
      </xdr:nvSpPr>
      <xdr:spPr>
        <a:xfrm>
          <a:off x="13685044" y="4893437"/>
          <a:ext cx="996950" cy="392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Expensev</a:t>
          </a:r>
        </a:p>
      </xdr:txBody>
    </xdr:sp>
    <xdr:clientData/>
  </xdr:twoCellAnchor>
  <xdr:twoCellAnchor>
    <xdr:from>
      <xdr:col>22</xdr:col>
      <xdr:colOff>301624</xdr:colOff>
      <xdr:row>31</xdr:row>
      <xdr:rowOff>8462</xdr:rowOff>
    </xdr:from>
    <xdr:to>
      <xdr:col>24</xdr:col>
      <xdr:colOff>55562</xdr:colOff>
      <xdr:row>32</xdr:row>
      <xdr:rowOff>95775</xdr:rowOff>
    </xdr:to>
    <xdr:sp macro="" textlink="">
      <xdr:nvSpPr>
        <xdr:cNvPr id="27" name="TextBox 26">
          <a:extLst>
            <a:ext uri="{FF2B5EF4-FFF2-40B4-BE49-F238E27FC236}">
              <a16:creationId xmlns:a16="http://schemas.microsoft.com/office/drawing/2014/main" id="{243333D9-C45F-43DE-8CA2-F19E7038F419}"/>
            </a:ext>
          </a:extLst>
        </xdr:cNvPr>
        <xdr:cNvSpPr txBox="1"/>
      </xdr:nvSpPr>
      <xdr:spPr>
        <a:xfrm>
          <a:off x="13712824" y="5717112"/>
          <a:ext cx="973138"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Debts</a:t>
          </a:r>
          <a:endParaRPr lang="en-US" sz="1100">
            <a:solidFill>
              <a:srgbClr val="6372A4"/>
            </a:solidFill>
          </a:endParaRPr>
        </a:p>
        <a:p>
          <a:endParaRPr lang="en-US" sz="1100"/>
        </a:p>
      </xdr:txBody>
    </xdr:sp>
    <xdr:clientData/>
  </xdr:twoCellAnchor>
  <xdr:twoCellAnchor>
    <xdr:from>
      <xdr:col>22</xdr:col>
      <xdr:colOff>297656</xdr:colOff>
      <xdr:row>33</xdr:row>
      <xdr:rowOff>55563</xdr:rowOff>
    </xdr:from>
    <xdr:to>
      <xdr:col>23</xdr:col>
      <xdr:colOff>607218</xdr:colOff>
      <xdr:row>36</xdr:row>
      <xdr:rowOff>95251</xdr:rowOff>
    </xdr:to>
    <xdr:sp macro="" textlink="">
      <xdr:nvSpPr>
        <xdr:cNvPr id="28" name="TextBox 27">
          <a:extLst>
            <a:ext uri="{FF2B5EF4-FFF2-40B4-BE49-F238E27FC236}">
              <a16:creationId xmlns:a16="http://schemas.microsoft.com/office/drawing/2014/main" id="{A6B53234-8256-4172-A84A-E3893D2509C5}"/>
            </a:ext>
          </a:extLst>
        </xdr:cNvPr>
        <xdr:cNvSpPr txBox="1"/>
      </xdr:nvSpPr>
      <xdr:spPr>
        <a:xfrm>
          <a:off x="13708856" y="6132513"/>
          <a:ext cx="919162" cy="59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Fin Goals</a:t>
          </a:r>
        </a:p>
      </xdr:txBody>
    </xdr:sp>
    <xdr:clientData/>
  </xdr:twoCellAnchor>
  <xdr:twoCellAnchor>
    <xdr:from>
      <xdr:col>22</xdr:col>
      <xdr:colOff>281082</xdr:colOff>
      <xdr:row>29</xdr:row>
      <xdr:rowOff>9762</xdr:rowOff>
    </xdr:from>
    <xdr:to>
      <xdr:col>24</xdr:col>
      <xdr:colOff>28482</xdr:colOff>
      <xdr:row>31</xdr:row>
      <xdr:rowOff>24862</xdr:rowOff>
    </xdr:to>
    <xdr:sp macro="" textlink="">
      <xdr:nvSpPr>
        <xdr:cNvPr id="29" name="TextBox 28">
          <a:extLst>
            <a:ext uri="{FF2B5EF4-FFF2-40B4-BE49-F238E27FC236}">
              <a16:creationId xmlns:a16="http://schemas.microsoft.com/office/drawing/2014/main" id="{4181BCF9-8FD4-48CC-905D-62CA7C7D63F8}"/>
            </a:ext>
          </a:extLst>
        </xdr:cNvPr>
        <xdr:cNvSpPr txBox="1"/>
      </xdr:nvSpPr>
      <xdr:spPr>
        <a:xfrm>
          <a:off x="13692282" y="5350112"/>
          <a:ext cx="966600" cy="38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6372A4"/>
              </a:solidFill>
            </a:rPr>
            <a:t>Investmants</a:t>
          </a:r>
        </a:p>
      </xdr:txBody>
    </xdr:sp>
    <xdr:clientData/>
  </xdr:twoCellAnchor>
  <xdr:twoCellAnchor>
    <xdr:from>
      <xdr:col>5</xdr:col>
      <xdr:colOff>164353</xdr:colOff>
      <xdr:row>27</xdr:row>
      <xdr:rowOff>119530</xdr:rowOff>
    </xdr:from>
    <xdr:to>
      <xdr:col>6</xdr:col>
      <xdr:colOff>231588</xdr:colOff>
      <xdr:row>28</xdr:row>
      <xdr:rowOff>156882</xdr:rowOff>
    </xdr:to>
    <xdr:sp macro="" textlink="">
      <xdr:nvSpPr>
        <xdr:cNvPr id="30" name="TextBox 29">
          <a:extLst>
            <a:ext uri="{FF2B5EF4-FFF2-40B4-BE49-F238E27FC236}">
              <a16:creationId xmlns:a16="http://schemas.microsoft.com/office/drawing/2014/main" id="{0FCF05B1-B40F-44EE-8E0E-58E9BDF53AA7}"/>
            </a:ext>
          </a:extLst>
        </xdr:cNvPr>
        <xdr:cNvSpPr txBox="1"/>
      </xdr:nvSpPr>
      <xdr:spPr>
        <a:xfrm>
          <a:off x="3212353" y="5091580"/>
          <a:ext cx="676835" cy="22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rgbClr val="6372A4"/>
              </a:solidFill>
            </a:rPr>
            <a:t>%</a:t>
          </a:r>
        </a:p>
      </xdr:txBody>
    </xdr:sp>
    <xdr:clientData/>
  </xdr:twoCellAnchor>
  <xdr:twoCellAnchor>
    <xdr:from>
      <xdr:col>22</xdr:col>
      <xdr:colOff>6049</xdr:colOff>
      <xdr:row>9</xdr:row>
      <xdr:rowOff>91164</xdr:rowOff>
    </xdr:from>
    <xdr:to>
      <xdr:col>25</xdr:col>
      <xdr:colOff>102932</xdr:colOff>
      <xdr:row>16</xdr:row>
      <xdr:rowOff>9884</xdr:rowOff>
    </xdr:to>
    <xdr:sp macro="" textlink="">
      <xdr:nvSpPr>
        <xdr:cNvPr id="31" name="Rectangle: Rounded Corners 30">
          <a:extLst>
            <a:ext uri="{FF2B5EF4-FFF2-40B4-BE49-F238E27FC236}">
              <a16:creationId xmlns:a16="http://schemas.microsoft.com/office/drawing/2014/main" id="{18712132-8E3B-4483-916C-AEA6312FF0E5}"/>
            </a:ext>
          </a:extLst>
        </xdr:cNvPr>
        <xdr:cNvSpPr/>
      </xdr:nvSpPr>
      <xdr:spPr>
        <a:xfrm>
          <a:off x="13417249" y="1748514"/>
          <a:ext cx="1925683" cy="1207770"/>
        </a:xfrm>
        <a:prstGeom prst="roundRect">
          <a:avLst>
            <a:gd name="adj" fmla="val 9799"/>
          </a:avLst>
        </a:prstGeom>
        <a:gradFill>
          <a:gsLst>
            <a:gs pos="0">
              <a:srgbClr val="22248D"/>
            </a:gs>
            <a:gs pos="67000">
              <a:srgbClr val="060839"/>
            </a:gs>
          </a:gsLst>
          <a:lin ang="8100000" scaled="0"/>
        </a:gradFill>
        <a:ln w="9525">
          <a:gradFill>
            <a:gsLst>
              <a:gs pos="25000">
                <a:srgbClr val="7079FF"/>
              </a:gs>
              <a:gs pos="100000">
                <a:srgbClr val="A2D8F0"/>
              </a:gs>
            </a:gsLst>
            <a:lin ang="8100000" scaled="0"/>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22</xdr:col>
      <xdr:colOff>127000</xdr:colOff>
      <xdr:row>11</xdr:row>
      <xdr:rowOff>99787</xdr:rowOff>
    </xdr:from>
    <xdr:to>
      <xdr:col>22</xdr:col>
      <xdr:colOff>471713</xdr:colOff>
      <xdr:row>13</xdr:row>
      <xdr:rowOff>45358</xdr:rowOff>
    </xdr:to>
    <xdr:sp macro="" textlink="">
      <xdr:nvSpPr>
        <xdr:cNvPr id="32" name="Rectangle: Rounded Corners 31">
          <a:extLst>
            <a:ext uri="{FF2B5EF4-FFF2-40B4-BE49-F238E27FC236}">
              <a16:creationId xmlns:a16="http://schemas.microsoft.com/office/drawing/2014/main" id="{319C0AFD-19E7-4A94-A6E9-23988ACA5934}"/>
            </a:ext>
          </a:extLst>
        </xdr:cNvPr>
        <xdr:cNvSpPr/>
      </xdr:nvSpPr>
      <xdr:spPr>
        <a:xfrm>
          <a:off x="13538200" y="2125437"/>
          <a:ext cx="344713" cy="313871"/>
        </a:xfrm>
        <a:prstGeom prst="roundRect">
          <a:avLst>
            <a:gd name="adj" fmla="val 26930"/>
          </a:avLst>
        </a:prstGeom>
        <a:solidFill>
          <a:srgbClr val="FFE07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388937</xdr:colOff>
      <xdr:row>10</xdr:row>
      <xdr:rowOff>14460</xdr:rowOff>
    </xdr:from>
    <xdr:to>
      <xdr:col>25</xdr:col>
      <xdr:colOff>35151</xdr:colOff>
      <xdr:row>11</xdr:row>
      <xdr:rowOff>172358</xdr:rowOff>
    </xdr:to>
    <xdr:grpSp>
      <xdr:nvGrpSpPr>
        <xdr:cNvPr id="33" name="Group 32">
          <a:extLst>
            <a:ext uri="{FF2B5EF4-FFF2-40B4-BE49-F238E27FC236}">
              <a16:creationId xmlns:a16="http://schemas.microsoft.com/office/drawing/2014/main" id="{8F1443A0-3DCB-4B69-B448-4B68A5C3764A}"/>
            </a:ext>
          </a:extLst>
        </xdr:cNvPr>
        <xdr:cNvGrpSpPr/>
      </xdr:nvGrpSpPr>
      <xdr:grpSpPr>
        <a:xfrm>
          <a:off x="14816137" y="1877127"/>
          <a:ext cx="247347" cy="344164"/>
          <a:chOff x="14904357" y="1837817"/>
          <a:chExt cx="312112" cy="354329"/>
        </a:xfrm>
      </xdr:grpSpPr>
      <xdr:sp macro="" textlink="">
        <xdr:nvSpPr>
          <xdr:cNvPr id="34" name="Freeform: Shape 33">
            <a:extLst>
              <a:ext uri="{FF2B5EF4-FFF2-40B4-BE49-F238E27FC236}">
                <a16:creationId xmlns:a16="http://schemas.microsoft.com/office/drawing/2014/main" id="{3E628BB7-90B5-1394-B013-6C117A36A4CB}"/>
              </a:ext>
            </a:extLst>
          </xdr:cNvPr>
          <xdr:cNvSpPr/>
        </xdr:nvSpPr>
        <xdr:spPr>
          <a:xfrm>
            <a:off x="15121164" y="1837817"/>
            <a:ext cx="95305" cy="354329"/>
          </a:xfrm>
          <a:custGeom>
            <a:avLst/>
            <a:gdLst>
              <a:gd name="csX0" fmla="*/ 56102 w 95305"/>
              <a:gd name="csY0" fmla="*/ 191453 h 354329"/>
              <a:gd name="csX1" fmla="*/ 0 w 95305"/>
              <a:gd name="csY1" fmla="*/ 325755 h 354329"/>
              <a:gd name="csX2" fmla="*/ 24956 w 95305"/>
              <a:gd name="csY2" fmla="*/ 354330 h 354329"/>
              <a:gd name="csX3" fmla="*/ 30861 w 95305"/>
              <a:gd name="csY3" fmla="*/ 0 h 354329"/>
              <a:gd name="csX4" fmla="*/ 2286 w 95305"/>
              <a:gd name="csY4" fmla="*/ 24575 h 354329"/>
              <a:gd name="csX5" fmla="*/ 56102 w 95305"/>
              <a:gd name="csY5" fmla="*/ 191453 h 354329"/>
            </a:gdLst>
            <a:ahLst/>
            <a:cxnLst>
              <a:cxn ang="0">
                <a:pos x="csX0" y="csY0"/>
              </a:cxn>
              <a:cxn ang="0">
                <a:pos x="csX1" y="csY1"/>
              </a:cxn>
              <a:cxn ang="0">
                <a:pos x="csX2" y="csY2"/>
              </a:cxn>
              <a:cxn ang="0">
                <a:pos x="csX3" y="csY3"/>
              </a:cxn>
              <a:cxn ang="0">
                <a:pos x="csX4" y="csY4"/>
              </a:cxn>
              <a:cxn ang="0">
                <a:pos x="csX5" y="csY5"/>
              </a:cxn>
            </a:cxnLst>
            <a:rect l="l" t="t" r="r" b="b"/>
            <a:pathLst>
              <a:path w="95305" h="354329">
                <a:moveTo>
                  <a:pt x="56102" y="191453"/>
                </a:moveTo>
                <a:cubicBezTo>
                  <a:pt x="52582" y="241148"/>
                  <a:pt x="32876" y="288322"/>
                  <a:pt x="0" y="325755"/>
                </a:cubicBezTo>
                <a:lnTo>
                  <a:pt x="24956" y="354330"/>
                </a:lnTo>
                <a:cubicBezTo>
                  <a:pt x="116453" y="254791"/>
                  <a:pt x="118990" y="102533"/>
                  <a:pt x="30861" y="0"/>
                </a:cubicBezTo>
                <a:lnTo>
                  <a:pt x="2286" y="24575"/>
                </a:lnTo>
                <a:cubicBezTo>
                  <a:pt x="41693" y="70836"/>
                  <a:pt x="61058" y="130885"/>
                  <a:pt x="56102" y="191453"/>
                </a:cubicBezTo>
                <a:close/>
              </a:path>
            </a:pathLst>
          </a:custGeom>
          <a:solidFill>
            <a:schemeClr val="bg1"/>
          </a:solidFill>
          <a:ln w="9525" cap="flat">
            <a:noFill/>
            <a:prstDash val="solid"/>
            <a:miter/>
          </a:ln>
        </xdr:spPr>
      </xdr:sp>
      <xdr:sp macro="" textlink="">
        <xdr:nvSpPr>
          <xdr:cNvPr id="35" name="Freeform: Shape 34">
            <a:extLst>
              <a:ext uri="{FF2B5EF4-FFF2-40B4-BE49-F238E27FC236}">
                <a16:creationId xmlns:a16="http://schemas.microsoft.com/office/drawing/2014/main" id="{00DF3569-94CF-136C-383D-4B3B51BBDBCF}"/>
              </a:ext>
            </a:extLst>
          </xdr:cNvPr>
          <xdr:cNvSpPr/>
        </xdr:nvSpPr>
        <xdr:spPr>
          <a:xfrm>
            <a:off x="15064776" y="1888299"/>
            <a:ext cx="75014" cy="245649"/>
          </a:xfrm>
          <a:custGeom>
            <a:avLst/>
            <a:gdLst>
              <a:gd name="csX0" fmla="*/ 36481 w 75014"/>
              <a:gd name="csY0" fmla="*/ 135255 h 245649"/>
              <a:gd name="csX1" fmla="*/ 5334 w 75014"/>
              <a:gd name="csY1" fmla="*/ 216408 h 245649"/>
              <a:gd name="csX2" fmla="*/ 30480 w 75014"/>
              <a:gd name="csY2" fmla="*/ 245650 h 245649"/>
              <a:gd name="csX3" fmla="*/ 28575 w 75014"/>
              <a:gd name="csY3" fmla="*/ 0 h 245649"/>
              <a:gd name="csX4" fmla="*/ 0 w 75014"/>
              <a:gd name="csY4" fmla="*/ 24575 h 245649"/>
              <a:gd name="csX5" fmla="*/ 36481 w 75014"/>
              <a:gd name="csY5" fmla="*/ 135255 h 245649"/>
            </a:gdLst>
            <a:ahLst/>
            <a:cxnLst>
              <a:cxn ang="0">
                <a:pos x="csX0" y="csY0"/>
              </a:cxn>
              <a:cxn ang="0">
                <a:pos x="csX1" y="csY1"/>
              </a:cxn>
              <a:cxn ang="0">
                <a:pos x="csX2" y="csY2"/>
              </a:cxn>
              <a:cxn ang="0">
                <a:pos x="csX3" y="csY3"/>
              </a:cxn>
              <a:cxn ang="0">
                <a:pos x="csX4" y="csY4"/>
              </a:cxn>
              <a:cxn ang="0">
                <a:pos x="csX5" y="csY5"/>
              </a:cxn>
            </a:cxnLst>
            <a:rect l="l" t="t" r="r" b="b"/>
            <a:pathLst>
              <a:path w="75014" h="245649">
                <a:moveTo>
                  <a:pt x="36481" y="135255"/>
                </a:moveTo>
                <a:cubicBezTo>
                  <a:pt x="34274" y="164773"/>
                  <a:pt x="23443" y="192993"/>
                  <a:pt x="5334" y="216408"/>
                </a:cubicBezTo>
                <a:lnTo>
                  <a:pt x="30480" y="245650"/>
                </a:lnTo>
                <a:cubicBezTo>
                  <a:pt x="90573" y="174524"/>
                  <a:pt x="89765" y="70186"/>
                  <a:pt x="28575" y="0"/>
                </a:cubicBezTo>
                <a:lnTo>
                  <a:pt x="0" y="24575"/>
                </a:lnTo>
                <a:cubicBezTo>
                  <a:pt x="26418" y="55135"/>
                  <a:pt x="39549" y="94975"/>
                  <a:pt x="36481" y="135255"/>
                </a:cubicBezTo>
                <a:close/>
              </a:path>
            </a:pathLst>
          </a:custGeom>
          <a:solidFill>
            <a:schemeClr val="bg1"/>
          </a:solidFill>
          <a:ln w="9525" cap="flat">
            <a:noFill/>
            <a:prstDash val="solid"/>
            <a:miter/>
          </a:ln>
        </xdr:spPr>
      </xdr:sp>
      <xdr:sp macro="" textlink="">
        <xdr:nvSpPr>
          <xdr:cNvPr id="36" name="Oval 35">
            <a:extLst>
              <a:ext uri="{FF2B5EF4-FFF2-40B4-BE49-F238E27FC236}">
                <a16:creationId xmlns:a16="http://schemas.microsoft.com/office/drawing/2014/main" id="{D74AF702-A7B0-C44F-48B1-DCE8CFF9A5D5}"/>
              </a:ext>
            </a:extLst>
          </xdr:cNvPr>
          <xdr:cNvSpPr/>
        </xdr:nvSpPr>
        <xdr:spPr>
          <a:xfrm>
            <a:off x="14904357" y="1932215"/>
            <a:ext cx="118872" cy="118872"/>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22</xdr:col>
      <xdr:colOff>163286</xdr:colOff>
      <xdr:row>14</xdr:row>
      <xdr:rowOff>27214</xdr:rowOff>
    </xdr:from>
    <xdr:to>
      <xdr:col>24</xdr:col>
      <xdr:colOff>535215</xdr:colOff>
      <xdr:row>15</xdr:row>
      <xdr:rowOff>54428</xdr:rowOff>
    </xdr:to>
    <xdr:sp macro="" textlink="">
      <xdr:nvSpPr>
        <xdr:cNvPr id="37" name="TextBox 36">
          <a:extLst>
            <a:ext uri="{FF2B5EF4-FFF2-40B4-BE49-F238E27FC236}">
              <a16:creationId xmlns:a16="http://schemas.microsoft.com/office/drawing/2014/main" id="{82EF0235-FB70-4935-9435-364FEBAB0D4D}"/>
            </a:ext>
          </a:extLst>
        </xdr:cNvPr>
        <xdr:cNvSpPr txBox="1"/>
      </xdr:nvSpPr>
      <xdr:spPr>
        <a:xfrm>
          <a:off x="13574486" y="2605314"/>
          <a:ext cx="1591129" cy="21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r>
            <a:rPr lang="en-US" sz="1100" baseline="0">
              <a:solidFill>
                <a:schemeClr val="bg1"/>
              </a:solidFill>
            </a:rPr>
            <a:t> ***** **** *****</a:t>
          </a:r>
          <a:endParaRPr lang="en-US" sz="1100">
            <a:solidFill>
              <a:schemeClr val="bg1"/>
            </a:solidFill>
          </a:endParaRPr>
        </a:p>
      </xdr:txBody>
    </xdr:sp>
    <xdr:clientData/>
  </xdr:twoCellAnchor>
  <xdr:twoCellAnchor editAs="oneCell">
    <xdr:from>
      <xdr:col>23</xdr:col>
      <xdr:colOff>453571</xdr:colOff>
      <xdr:row>10</xdr:row>
      <xdr:rowOff>36286</xdr:rowOff>
    </xdr:from>
    <xdr:to>
      <xdr:col>24</xdr:col>
      <xdr:colOff>211545</xdr:colOff>
      <xdr:row>12</xdr:row>
      <xdr:rowOff>39189</xdr:rowOff>
    </xdr:to>
    <xdr:pic>
      <xdr:nvPicPr>
        <xdr:cNvPr id="38" name="Graphic 37" descr="Moon with solid fill">
          <a:extLst>
            <a:ext uri="{FF2B5EF4-FFF2-40B4-BE49-F238E27FC236}">
              <a16:creationId xmlns:a16="http://schemas.microsoft.com/office/drawing/2014/main" id="{6FEA1DF2-D94A-4E02-A608-3A6A9118D95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4474371" y="1877786"/>
          <a:ext cx="367574" cy="371203"/>
        </a:xfrm>
        <a:prstGeom prst="rect">
          <a:avLst/>
        </a:prstGeom>
      </xdr:spPr>
    </xdr:pic>
    <xdr:clientData/>
  </xdr:twoCellAnchor>
  <xdr:twoCellAnchor editAs="oneCell">
    <xdr:from>
      <xdr:col>22</xdr:col>
      <xdr:colOff>535214</xdr:colOff>
      <xdr:row>10</xdr:row>
      <xdr:rowOff>36286</xdr:rowOff>
    </xdr:from>
    <xdr:to>
      <xdr:col>23</xdr:col>
      <xdr:colOff>303686</xdr:colOff>
      <xdr:row>12</xdr:row>
      <xdr:rowOff>51274</xdr:rowOff>
    </xdr:to>
    <xdr:pic>
      <xdr:nvPicPr>
        <xdr:cNvPr id="39" name="Picture 79" descr="Sun with solid fill">
          <a:extLst>
            <a:ext uri="{FF2B5EF4-FFF2-40B4-BE49-F238E27FC236}">
              <a16:creationId xmlns:a16="http://schemas.microsoft.com/office/drawing/2014/main" id="{2A1A4D04-5DB0-442B-BE19-B595AE45F89C}"/>
            </a:ext>
          </a:extLst>
        </xdr:cNvPr>
        <xdr:cNvPicPr>
          <a:picLocks noChangeAspect="1"/>
        </xdr:cNvPicPr>
      </xdr:nvPicPr>
      <xdr:blipFill>
        <a:blip xmlns:r="http://schemas.openxmlformats.org/officeDocument/2006/relationships" r:embed="rId23"/>
        <a:stretch>
          <a:fillRect/>
        </a:stretch>
      </xdr:blipFill>
      <xdr:spPr>
        <a:xfrm>
          <a:off x="13946414" y="1877786"/>
          <a:ext cx="378072" cy="383288"/>
        </a:xfrm>
        <a:prstGeom prst="rect">
          <a:avLst/>
        </a:prstGeom>
      </xdr:spPr>
    </xdr:pic>
    <xdr:clientData/>
  </xdr:twoCellAnchor>
  <xdr:twoCellAnchor>
    <xdr:from>
      <xdr:col>7</xdr:col>
      <xdr:colOff>381001</xdr:colOff>
      <xdr:row>12</xdr:row>
      <xdr:rowOff>74083</xdr:rowOff>
    </xdr:from>
    <xdr:to>
      <xdr:col>12</xdr:col>
      <xdr:colOff>370417</xdr:colOff>
      <xdr:row>31</xdr:row>
      <xdr:rowOff>74082</xdr:rowOff>
    </xdr:to>
    <xdr:sp macro="" textlink="">
      <xdr:nvSpPr>
        <xdr:cNvPr id="110" name="Rectangle: Rounded Corners 109">
          <a:extLst>
            <a:ext uri="{FF2B5EF4-FFF2-40B4-BE49-F238E27FC236}">
              <a16:creationId xmlns:a16="http://schemas.microsoft.com/office/drawing/2014/main" id="{222B4029-1DBB-64F9-90DF-96479208E980}"/>
            </a:ext>
          </a:extLst>
        </xdr:cNvPr>
        <xdr:cNvSpPr/>
      </xdr:nvSpPr>
      <xdr:spPr>
        <a:xfrm>
          <a:off x="4677834" y="2233083"/>
          <a:ext cx="3058583" cy="3418416"/>
        </a:xfrm>
        <a:prstGeom prst="roundRect">
          <a:avLst>
            <a:gd name="adj" fmla="val 11111"/>
          </a:avLst>
        </a:prstGeom>
        <a:gradFill>
          <a:gsLst>
            <a:gs pos="0">
              <a:srgbClr val="323687"/>
            </a:gs>
            <a:gs pos="80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591910</xdr:colOff>
      <xdr:row>18</xdr:row>
      <xdr:rowOff>22845</xdr:rowOff>
    </xdr:from>
    <xdr:to>
      <xdr:col>31</xdr:col>
      <xdr:colOff>24568</xdr:colOff>
      <xdr:row>19</xdr:row>
      <xdr:rowOff>140985</xdr:rowOff>
    </xdr:to>
    <xdr:sp macro="" textlink="">
      <xdr:nvSpPr>
        <xdr:cNvPr id="40" name="TextBox 39">
          <a:extLst>
            <a:ext uri="{FF2B5EF4-FFF2-40B4-BE49-F238E27FC236}">
              <a16:creationId xmlns:a16="http://schemas.microsoft.com/office/drawing/2014/main" id="{36B8D34A-44BC-4C1B-91A7-B5BEE19D1F53}"/>
            </a:ext>
          </a:extLst>
        </xdr:cNvPr>
        <xdr:cNvSpPr txBox="1"/>
      </xdr:nvSpPr>
      <xdr:spPr>
        <a:xfrm>
          <a:off x="17660710" y="3337545"/>
          <a:ext cx="1261458" cy="302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rgbClr val="6372A4"/>
              </a:solidFill>
            </a:rPr>
            <a:t>Blanace</a:t>
          </a:r>
        </a:p>
      </xdr:txBody>
    </xdr:sp>
    <xdr:clientData/>
  </xdr:twoCellAnchor>
  <xdr:twoCellAnchor editAs="oneCell">
    <xdr:from>
      <xdr:col>7</xdr:col>
      <xdr:colOff>176390</xdr:colOff>
      <xdr:row>3</xdr:row>
      <xdr:rowOff>60854</xdr:rowOff>
    </xdr:from>
    <xdr:to>
      <xdr:col>25</xdr:col>
      <xdr:colOff>0</xdr:colOff>
      <xdr:row>5</xdr:row>
      <xdr:rowOff>92603</xdr:rowOff>
    </xdr:to>
    <mc:AlternateContent xmlns:mc="http://schemas.openxmlformats.org/markup-compatibility/2006" xmlns:a14="http://schemas.microsoft.com/office/drawing/2010/main">
      <mc:Choice Requires="a14">
        <xdr:graphicFrame macro="">
          <xdr:nvGraphicFramePr>
            <xdr:cNvPr id="41" name="Month 5">
              <a:extLst>
                <a:ext uri="{FF2B5EF4-FFF2-40B4-BE49-F238E27FC236}">
                  <a16:creationId xmlns:a16="http://schemas.microsoft.com/office/drawing/2014/main" id="{EAA7852C-2E0B-4BD1-854E-6B9A0D062960}"/>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4454703" y="608542"/>
              <a:ext cx="10824985" cy="396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484187</xdr:colOff>
      <xdr:row>17</xdr:row>
      <xdr:rowOff>5081</xdr:rowOff>
    </xdr:from>
    <xdr:to>
      <xdr:col>23</xdr:col>
      <xdr:colOff>381000</xdr:colOff>
      <xdr:row>19</xdr:row>
      <xdr:rowOff>0</xdr:rowOff>
    </xdr:to>
    <xdr:sp macro="" textlink="">
      <xdr:nvSpPr>
        <xdr:cNvPr id="43" name="TextBox 42">
          <a:extLst>
            <a:ext uri="{FF2B5EF4-FFF2-40B4-BE49-F238E27FC236}">
              <a16:creationId xmlns:a16="http://schemas.microsoft.com/office/drawing/2014/main" id="{E7168E3B-8552-4E0C-963D-F0115F935310}"/>
            </a:ext>
          </a:extLst>
        </xdr:cNvPr>
        <xdr:cNvSpPr txBox="1"/>
      </xdr:nvSpPr>
      <xdr:spPr>
        <a:xfrm>
          <a:off x="13285787" y="3135631"/>
          <a:ext cx="1116013"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1">
              <a:solidFill>
                <a:srgbClr val="6372A4"/>
              </a:solidFill>
            </a:rPr>
            <a:t>Blanace:</a:t>
          </a:r>
        </a:p>
      </xdr:txBody>
    </xdr:sp>
    <xdr:clientData/>
  </xdr:twoCellAnchor>
  <xdr:twoCellAnchor>
    <xdr:from>
      <xdr:col>23</xdr:col>
      <xdr:colOff>486582</xdr:colOff>
      <xdr:row>26</xdr:row>
      <xdr:rowOff>95670</xdr:rowOff>
    </xdr:from>
    <xdr:to>
      <xdr:col>25</xdr:col>
      <xdr:colOff>29608</xdr:colOff>
      <xdr:row>28</xdr:row>
      <xdr:rowOff>90589</xdr:rowOff>
    </xdr:to>
    <xdr:sp macro="" textlink="Processing!E14">
      <xdr:nvSpPr>
        <xdr:cNvPr id="46" name="TextBox 45">
          <a:extLst>
            <a:ext uri="{FF2B5EF4-FFF2-40B4-BE49-F238E27FC236}">
              <a16:creationId xmlns:a16="http://schemas.microsoft.com/office/drawing/2014/main" id="{529C6614-4A7F-488B-AB36-3A3103E24532}"/>
            </a:ext>
          </a:extLst>
        </xdr:cNvPr>
        <xdr:cNvSpPr txBox="1"/>
      </xdr:nvSpPr>
      <xdr:spPr>
        <a:xfrm>
          <a:off x="14507382" y="4883570"/>
          <a:ext cx="762226"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FE3DA70-869E-43C1-9FD3-A5DC7BFFC055}" type="TxLink">
            <a:rPr lang="en-US" sz="1400" b="0" i="0" u="none" strike="noStrike">
              <a:solidFill>
                <a:schemeClr val="tx2">
                  <a:lumMod val="25000"/>
                  <a:lumOff val="75000"/>
                </a:schemeClr>
              </a:solidFill>
              <a:latin typeface="Aptos Narrow"/>
              <a:ea typeface="+mn-ea"/>
              <a:cs typeface="+mn-cs"/>
            </a:rPr>
            <a:pPr marL="0" indent="0" algn="r"/>
            <a:t>$18,904</a:t>
          </a:fld>
          <a:endParaRPr lang="en-US" sz="1600" b="1" i="1" u="none" strike="noStrike">
            <a:solidFill>
              <a:schemeClr val="tx2">
                <a:lumMod val="25000"/>
                <a:lumOff val="75000"/>
              </a:schemeClr>
            </a:solidFill>
            <a:latin typeface="Aptos Narrow"/>
            <a:ea typeface="+mn-ea"/>
            <a:cs typeface="+mn-cs"/>
          </a:endParaRPr>
        </a:p>
      </xdr:txBody>
    </xdr:sp>
    <xdr:clientData/>
  </xdr:twoCellAnchor>
  <xdr:twoCellAnchor>
    <xdr:from>
      <xdr:col>8</xdr:col>
      <xdr:colOff>34395</xdr:colOff>
      <xdr:row>27</xdr:row>
      <xdr:rowOff>18521</xdr:rowOff>
    </xdr:from>
    <xdr:to>
      <xdr:col>10</xdr:col>
      <xdr:colOff>412220</xdr:colOff>
      <xdr:row>32</xdr:row>
      <xdr:rowOff>138981</xdr:rowOff>
    </xdr:to>
    <xdr:graphicFrame macro="">
      <xdr:nvGraphicFramePr>
        <xdr:cNvPr id="59" name="Chart 58">
          <a:extLst>
            <a:ext uri="{FF2B5EF4-FFF2-40B4-BE49-F238E27FC236}">
              <a16:creationId xmlns:a16="http://schemas.microsoft.com/office/drawing/2014/main" id="{4921362B-8DFF-44CB-A193-EA7BC290E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251854</xdr:colOff>
      <xdr:row>11</xdr:row>
      <xdr:rowOff>148166</xdr:rowOff>
    </xdr:from>
    <xdr:to>
      <xdr:col>12</xdr:col>
      <xdr:colOff>539750</xdr:colOff>
      <xdr:row>30</xdr:row>
      <xdr:rowOff>84667</xdr:rowOff>
    </xdr:to>
    <xdr:graphicFrame macro="">
      <xdr:nvGraphicFramePr>
        <xdr:cNvPr id="69" name="Chart 68">
          <a:extLst>
            <a:ext uri="{FF2B5EF4-FFF2-40B4-BE49-F238E27FC236}">
              <a16:creationId xmlns:a16="http://schemas.microsoft.com/office/drawing/2014/main" id="{A9792735-657A-403F-B171-F0D9D5AA0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9</xdr:col>
      <xdr:colOff>572333</xdr:colOff>
      <xdr:row>13</xdr:row>
      <xdr:rowOff>76582</xdr:rowOff>
    </xdr:from>
    <xdr:to>
      <xdr:col>11</xdr:col>
      <xdr:colOff>101180</xdr:colOff>
      <xdr:row>15</xdr:row>
      <xdr:rowOff>72468</xdr:rowOff>
    </xdr:to>
    <xdr:sp macro="" textlink="Processing!M15">
      <xdr:nvSpPr>
        <xdr:cNvPr id="70" name="TextBox 69">
          <a:extLst>
            <a:ext uri="{FF2B5EF4-FFF2-40B4-BE49-F238E27FC236}">
              <a16:creationId xmlns:a16="http://schemas.microsoft.com/office/drawing/2014/main" id="{AA90DBEA-44C3-4F83-A594-56AB76E0CE79}"/>
            </a:ext>
          </a:extLst>
        </xdr:cNvPr>
        <xdr:cNvSpPr txBox="1"/>
      </xdr:nvSpPr>
      <xdr:spPr>
        <a:xfrm>
          <a:off x="6096833" y="2415499"/>
          <a:ext cx="756514" cy="35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0C01959-C065-4588-B729-F2A11812502D}" type="TxLink">
            <a:rPr lang="en-US" sz="1200" b="1" i="1" u="none" strike="noStrike">
              <a:solidFill>
                <a:schemeClr val="bg1"/>
              </a:solidFill>
              <a:latin typeface="Aptos Narrow"/>
              <a:ea typeface="+mn-ea"/>
              <a:cs typeface="+mn-cs"/>
            </a:rPr>
            <a:pPr marL="0" indent="0" algn="r"/>
            <a:t>Debts</a:t>
          </a:fld>
          <a:endParaRPr lang="en-US" sz="1200" b="1" i="1" u="none" strike="noStrike">
            <a:solidFill>
              <a:schemeClr val="bg1"/>
            </a:solidFill>
            <a:latin typeface="Aptos Narrow"/>
            <a:ea typeface="+mn-ea"/>
            <a:cs typeface="+mn-cs"/>
          </a:endParaRPr>
        </a:p>
      </xdr:txBody>
    </xdr:sp>
    <xdr:clientData/>
  </xdr:twoCellAnchor>
  <xdr:twoCellAnchor>
    <xdr:from>
      <xdr:col>23</xdr:col>
      <xdr:colOff>538420</xdr:colOff>
      <xdr:row>30</xdr:row>
      <xdr:rowOff>177785</xdr:rowOff>
    </xdr:from>
    <xdr:to>
      <xdr:col>25</xdr:col>
      <xdr:colOff>305583</xdr:colOff>
      <xdr:row>32</xdr:row>
      <xdr:rowOff>172704</xdr:rowOff>
    </xdr:to>
    <xdr:sp macro="" textlink="Processing!O20">
      <xdr:nvSpPr>
        <xdr:cNvPr id="71" name="TextBox 70">
          <a:extLst>
            <a:ext uri="{FF2B5EF4-FFF2-40B4-BE49-F238E27FC236}">
              <a16:creationId xmlns:a16="http://schemas.microsoft.com/office/drawing/2014/main" id="{C65B7064-B8AC-4A4C-99EA-77FBB6B79610}"/>
            </a:ext>
          </a:extLst>
        </xdr:cNvPr>
        <xdr:cNvSpPr txBox="1"/>
      </xdr:nvSpPr>
      <xdr:spPr>
        <a:xfrm>
          <a:off x="14559220" y="5702285"/>
          <a:ext cx="986363"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EC8FCC-96DD-489D-9D1F-BDA06E3B6D0B}" type="TxLink">
            <a:rPr lang="en-US" sz="1200" b="0" i="0" u="none" strike="noStrike">
              <a:solidFill>
                <a:schemeClr val="tx2">
                  <a:lumMod val="25000"/>
                  <a:lumOff val="75000"/>
                </a:schemeClr>
              </a:solidFill>
              <a:latin typeface="Aptos Narrow"/>
              <a:ea typeface="+mn-ea"/>
              <a:cs typeface="+mn-cs"/>
            </a:rPr>
            <a:pPr marL="0" indent="0" algn="l"/>
            <a:t> $95.42 </a:t>
          </a:fld>
          <a:endParaRPr lang="en-US" sz="1200" b="0" i="0" u="none" strike="noStrike">
            <a:solidFill>
              <a:schemeClr val="tx2">
                <a:lumMod val="25000"/>
                <a:lumOff val="75000"/>
              </a:schemeClr>
            </a:solidFill>
            <a:latin typeface="Aptos Narrow"/>
            <a:ea typeface="+mn-ea"/>
            <a:cs typeface="+mn-cs"/>
          </a:endParaRPr>
        </a:p>
      </xdr:txBody>
    </xdr:sp>
    <xdr:clientData/>
  </xdr:twoCellAnchor>
  <xdr:twoCellAnchor>
    <xdr:from>
      <xdr:col>23</xdr:col>
      <xdr:colOff>317881</xdr:colOff>
      <xdr:row>33</xdr:row>
      <xdr:rowOff>8860</xdr:rowOff>
    </xdr:from>
    <xdr:to>
      <xdr:col>25</xdr:col>
      <xdr:colOff>85045</xdr:colOff>
      <xdr:row>35</xdr:row>
      <xdr:rowOff>3779</xdr:rowOff>
    </xdr:to>
    <xdr:sp macro="" textlink="Processing!F35">
      <xdr:nvSpPr>
        <xdr:cNvPr id="78" name="TextBox 77">
          <a:extLst>
            <a:ext uri="{FF2B5EF4-FFF2-40B4-BE49-F238E27FC236}">
              <a16:creationId xmlns:a16="http://schemas.microsoft.com/office/drawing/2014/main" id="{22138507-AD1E-4522-A397-5544E1E15677}"/>
            </a:ext>
          </a:extLst>
        </xdr:cNvPr>
        <xdr:cNvSpPr txBox="1"/>
      </xdr:nvSpPr>
      <xdr:spPr>
        <a:xfrm>
          <a:off x="14338681" y="6085810"/>
          <a:ext cx="986364"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A5ADB9-2CC4-4604-9A35-AA2E683E5678}" type="TxLink">
            <a:rPr lang="en-US" sz="1400" b="0" i="0" u="none" strike="noStrike">
              <a:solidFill>
                <a:schemeClr val="tx2">
                  <a:lumMod val="25000"/>
                  <a:lumOff val="75000"/>
                </a:schemeClr>
              </a:solidFill>
              <a:latin typeface="Aptos Narrow"/>
              <a:ea typeface="+mn-ea"/>
              <a:cs typeface="+mn-cs"/>
            </a:rPr>
            <a:pPr marL="0" indent="0" algn="ctr"/>
            <a:t>$99</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21</xdr:col>
      <xdr:colOff>468313</xdr:colOff>
      <xdr:row>21</xdr:row>
      <xdr:rowOff>103186</xdr:rowOff>
    </xdr:from>
    <xdr:to>
      <xdr:col>22</xdr:col>
      <xdr:colOff>222886</xdr:colOff>
      <xdr:row>23</xdr:row>
      <xdr:rowOff>103821</xdr:rowOff>
    </xdr:to>
    <xdr:sp macro="" textlink="">
      <xdr:nvSpPr>
        <xdr:cNvPr id="79" name="Oval 78">
          <a:extLst>
            <a:ext uri="{FF2B5EF4-FFF2-40B4-BE49-F238E27FC236}">
              <a16:creationId xmlns:a16="http://schemas.microsoft.com/office/drawing/2014/main" id="{23C43042-F114-4364-AB14-12DE6F936075}"/>
            </a:ext>
          </a:extLst>
        </xdr:cNvPr>
        <xdr:cNvSpPr/>
      </xdr:nvSpPr>
      <xdr:spPr>
        <a:xfrm>
          <a:off x="13269913" y="3970336"/>
          <a:ext cx="364173" cy="368935"/>
        </a:xfrm>
        <a:prstGeom prst="ellipse">
          <a:avLst/>
        </a:prstGeom>
        <a:solidFill>
          <a:srgbClr val="FF00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23</xdr:row>
      <xdr:rowOff>168274</xdr:rowOff>
    </xdr:from>
    <xdr:to>
      <xdr:col>22</xdr:col>
      <xdr:colOff>222886</xdr:colOff>
      <xdr:row>25</xdr:row>
      <xdr:rowOff>168909</xdr:rowOff>
    </xdr:to>
    <xdr:sp macro="" textlink="">
      <xdr:nvSpPr>
        <xdr:cNvPr id="80" name="Oval 79">
          <a:extLst>
            <a:ext uri="{FF2B5EF4-FFF2-40B4-BE49-F238E27FC236}">
              <a16:creationId xmlns:a16="http://schemas.microsoft.com/office/drawing/2014/main" id="{B156C717-A558-4245-8EF4-D9FA853CFC5C}"/>
            </a:ext>
          </a:extLst>
        </xdr:cNvPr>
        <xdr:cNvSpPr/>
      </xdr:nvSpPr>
      <xdr:spPr>
        <a:xfrm>
          <a:off x="13269913" y="4403724"/>
          <a:ext cx="364173" cy="368935"/>
        </a:xfrm>
        <a:prstGeom prst="ellipse">
          <a:avLst/>
        </a:prstGeom>
        <a:solidFill>
          <a:srgbClr val="00B0F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26</xdr:row>
      <xdr:rowOff>50800</xdr:rowOff>
    </xdr:from>
    <xdr:to>
      <xdr:col>22</xdr:col>
      <xdr:colOff>222886</xdr:colOff>
      <xdr:row>28</xdr:row>
      <xdr:rowOff>51435</xdr:rowOff>
    </xdr:to>
    <xdr:sp macro="" textlink="">
      <xdr:nvSpPr>
        <xdr:cNvPr id="81" name="Oval 80">
          <a:extLst>
            <a:ext uri="{FF2B5EF4-FFF2-40B4-BE49-F238E27FC236}">
              <a16:creationId xmlns:a16="http://schemas.microsoft.com/office/drawing/2014/main" id="{58D27BCC-2ACF-48B0-ACC1-793FE32DC29C}"/>
            </a:ext>
          </a:extLst>
        </xdr:cNvPr>
        <xdr:cNvSpPr/>
      </xdr:nvSpPr>
      <xdr:spPr>
        <a:xfrm>
          <a:off x="13269913" y="4838700"/>
          <a:ext cx="364173" cy="368935"/>
        </a:xfrm>
        <a:prstGeom prst="ellipse">
          <a:avLst/>
        </a:prstGeom>
        <a:solidFill>
          <a:srgbClr val="AD27FE"/>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28</xdr:row>
      <xdr:rowOff>115888</xdr:rowOff>
    </xdr:from>
    <xdr:to>
      <xdr:col>22</xdr:col>
      <xdr:colOff>222886</xdr:colOff>
      <xdr:row>30</xdr:row>
      <xdr:rowOff>116523</xdr:rowOff>
    </xdr:to>
    <xdr:sp macro="" textlink="">
      <xdr:nvSpPr>
        <xdr:cNvPr id="82" name="Oval 81">
          <a:extLst>
            <a:ext uri="{FF2B5EF4-FFF2-40B4-BE49-F238E27FC236}">
              <a16:creationId xmlns:a16="http://schemas.microsoft.com/office/drawing/2014/main" id="{289DA784-AE29-4BD6-A9A4-4972A9CA3DB1}"/>
            </a:ext>
          </a:extLst>
        </xdr:cNvPr>
        <xdr:cNvSpPr/>
      </xdr:nvSpPr>
      <xdr:spPr>
        <a:xfrm>
          <a:off x="13269913" y="5272088"/>
          <a:ext cx="364173" cy="368935"/>
        </a:xfrm>
        <a:prstGeom prst="ellipse">
          <a:avLst/>
        </a:prstGeom>
        <a:solidFill>
          <a:srgbClr val="3A5CE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30</xdr:row>
      <xdr:rowOff>180976</xdr:rowOff>
    </xdr:from>
    <xdr:to>
      <xdr:col>22</xdr:col>
      <xdr:colOff>222886</xdr:colOff>
      <xdr:row>32</xdr:row>
      <xdr:rowOff>181611</xdr:rowOff>
    </xdr:to>
    <xdr:sp macro="" textlink="">
      <xdr:nvSpPr>
        <xdr:cNvPr id="83" name="Oval 82">
          <a:extLst>
            <a:ext uri="{FF2B5EF4-FFF2-40B4-BE49-F238E27FC236}">
              <a16:creationId xmlns:a16="http://schemas.microsoft.com/office/drawing/2014/main" id="{19FA5C6F-025B-4A91-BD51-DD97DC0422DE}"/>
            </a:ext>
          </a:extLst>
        </xdr:cNvPr>
        <xdr:cNvSpPr/>
      </xdr:nvSpPr>
      <xdr:spPr>
        <a:xfrm>
          <a:off x="13269913" y="5705476"/>
          <a:ext cx="364173" cy="368935"/>
        </a:xfrm>
        <a:prstGeom prst="ellipse">
          <a:avLst/>
        </a:prstGeom>
        <a:solidFill>
          <a:srgbClr val="8D76FC"/>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33</xdr:row>
      <xdr:rowOff>63499</xdr:rowOff>
    </xdr:from>
    <xdr:to>
      <xdr:col>22</xdr:col>
      <xdr:colOff>222886</xdr:colOff>
      <xdr:row>35</xdr:row>
      <xdr:rowOff>64134</xdr:rowOff>
    </xdr:to>
    <xdr:sp macro="" textlink="">
      <xdr:nvSpPr>
        <xdr:cNvPr id="84" name="Oval 83">
          <a:extLst>
            <a:ext uri="{FF2B5EF4-FFF2-40B4-BE49-F238E27FC236}">
              <a16:creationId xmlns:a16="http://schemas.microsoft.com/office/drawing/2014/main" id="{2076D7D9-7F82-4E7F-9657-9BE634AC8FEC}"/>
            </a:ext>
          </a:extLst>
        </xdr:cNvPr>
        <xdr:cNvSpPr/>
      </xdr:nvSpPr>
      <xdr:spPr>
        <a:xfrm>
          <a:off x="13269913" y="6140449"/>
          <a:ext cx="364173" cy="368935"/>
        </a:xfrm>
        <a:prstGeom prst="ellipse">
          <a:avLst/>
        </a:prstGeom>
        <a:solidFill>
          <a:srgbClr val="00206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500063</xdr:colOff>
      <xdr:row>21</xdr:row>
      <xdr:rowOff>126999</xdr:rowOff>
    </xdr:from>
    <xdr:to>
      <xdr:col>22</xdr:col>
      <xdr:colOff>201439</xdr:colOff>
      <xdr:row>23</xdr:row>
      <xdr:rowOff>36194</xdr:rowOff>
    </xdr:to>
    <xdr:pic>
      <xdr:nvPicPr>
        <xdr:cNvPr id="85" name="Graphic 84" descr="Treasure chest outline">
          <a:extLst>
            <a:ext uri="{FF2B5EF4-FFF2-40B4-BE49-F238E27FC236}">
              <a16:creationId xmlns:a16="http://schemas.microsoft.com/office/drawing/2014/main" id="{D8106378-092C-44CF-B462-50D689E86B3E}"/>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3301663" y="3994149"/>
          <a:ext cx="310976" cy="277495"/>
        </a:xfrm>
        <a:prstGeom prst="rect">
          <a:avLst/>
        </a:prstGeom>
      </xdr:spPr>
    </xdr:pic>
    <xdr:clientData/>
  </xdr:twoCellAnchor>
  <xdr:twoCellAnchor editAs="oneCell">
    <xdr:from>
      <xdr:col>21</xdr:col>
      <xdr:colOff>497625</xdr:colOff>
      <xdr:row>24</xdr:row>
      <xdr:rowOff>37250</xdr:rowOff>
    </xdr:from>
    <xdr:to>
      <xdr:col>22</xdr:col>
      <xdr:colOff>160758</xdr:colOff>
      <xdr:row>25</xdr:row>
      <xdr:rowOff>129007</xdr:rowOff>
    </xdr:to>
    <xdr:pic>
      <xdr:nvPicPr>
        <xdr:cNvPr id="86" name="Graphic 85" descr="Bar graph with upward trend with solid fill">
          <a:extLst>
            <a:ext uri="{FF2B5EF4-FFF2-40B4-BE49-F238E27FC236}">
              <a16:creationId xmlns:a16="http://schemas.microsoft.com/office/drawing/2014/main" id="{D28D2E2D-6FB1-4D2B-8856-B901953A9E28}"/>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299225" y="4456850"/>
          <a:ext cx="272733" cy="275907"/>
        </a:xfrm>
        <a:prstGeom prst="rect">
          <a:avLst/>
        </a:prstGeom>
      </xdr:spPr>
    </xdr:pic>
    <xdr:clientData/>
  </xdr:twoCellAnchor>
  <xdr:twoCellAnchor editAs="oneCell">
    <xdr:from>
      <xdr:col>21</xdr:col>
      <xdr:colOff>528319</xdr:colOff>
      <xdr:row>26</xdr:row>
      <xdr:rowOff>80085</xdr:rowOff>
    </xdr:from>
    <xdr:to>
      <xdr:col>22</xdr:col>
      <xdr:colOff>188381</xdr:colOff>
      <xdr:row>27</xdr:row>
      <xdr:rowOff>171842</xdr:rowOff>
    </xdr:to>
    <xdr:pic>
      <xdr:nvPicPr>
        <xdr:cNvPr id="87" name="Graphic 86" descr="Bar graph with downward trend with solid fill">
          <a:extLst>
            <a:ext uri="{FF2B5EF4-FFF2-40B4-BE49-F238E27FC236}">
              <a16:creationId xmlns:a16="http://schemas.microsoft.com/office/drawing/2014/main" id="{F9189374-E519-4429-8FF8-BCE664D5549B}"/>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329919" y="4867985"/>
          <a:ext cx="269662" cy="275907"/>
        </a:xfrm>
        <a:prstGeom prst="rect">
          <a:avLst/>
        </a:prstGeom>
      </xdr:spPr>
    </xdr:pic>
    <xdr:clientData/>
  </xdr:twoCellAnchor>
  <xdr:twoCellAnchor editAs="oneCell">
    <xdr:from>
      <xdr:col>21</xdr:col>
      <xdr:colOff>511388</xdr:colOff>
      <xdr:row>28</xdr:row>
      <xdr:rowOff>156069</xdr:rowOff>
    </xdr:from>
    <xdr:to>
      <xdr:col>22</xdr:col>
      <xdr:colOff>171189</xdr:colOff>
      <xdr:row>30</xdr:row>
      <xdr:rowOff>65264</xdr:rowOff>
    </xdr:to>
    <xdr:pic>
      <xdr:nvPicPr>
        <xdr:cNvPr id="88" name="Graphic 87" descr="Open hand with plant with solid fill">
          <a:extLst>
            <a:ext uri="{FF2B5EF4-FFF2-40B4-BE49-F238E27FC236}">
              <a16:creationId xmlns:a16="http://schemas.microsoft.com/office/drawing/2014/main" id="{3D32F652-0EF4-41FB-A2C4-978F79627A7E}"/>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3312988" y="5312269"/>
          <a:ext cx="269401" cy="277495"/>
        </a:xfrm>
        <a:prstGeom prst="rect">
          <a:avLst/>
        </a:prstGeom>
      </xdr:spPr>
    </xdr:pic>
    <xdr:clientData/>
  </xdr:twoCellAnchor>
  <xdr:twoCellAnchor>
    <xdr:from>
      <xdr:col>21</xdr:col>
      <xdr:colOff>505665</xdr:colOff>
      <xdr:row>31</xdr:row>
      <xdr:rowOff>40155</xdr:rowOff>
    </xdr:from>
    <xdr:to>
      <xdr:col>22</xdr:col>
      <xdr:colOff>168798</xdr:colOff>
      <xdr:row>32</xdr:row>
      <xdr:rowOff>131913</xdr:rowOff>
    </xdr:to>
    <xdr:sp macro="" textlink="">
      <xdr:nvSpPr>
        <xdr:cNvPr id="89" name="TextBox 88">
          <a:extLst>
            <a:ext uri="{FF2B5EF4-FFF2-40B4-BE49-F238E27FC236}">
              <a16:creationId xmlns:a16="http://schemas.microsoft.com/office/drawing/2014/main" id="{41D27852-892D-442D-B8C5-D3AB5C65A45F}"/>
            </a:ext>
          </a:extLst>
        </xdr:cNvPr>
        <xdr:cNvSpPr txBox="1"/>
      </xdr:nvSpPr>
      <xdr:spPr>
        <a:xfrm>
          <a:off x="13307265" y="5748805"/>
          <a:ext cx="272733" cy="275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a:t>
          </a:r>
          <a:endParaRPr lang="en-US" sz="2400">
            <a:solidFill>
              <a:schemeClr val="bg1"/>
            </a:solidFill>
          </a:endParaRPr>
        </a:p>
      </xdr:txBody>
    </xdr:sp>
    <xdr:clientData/>
  </xdr:twoCellAnchor>
  <xdr:twoCellAnchor editAs="oneCell">
    <xdr:from>
      <xdr:col>21</xdr:col>
      <xdr:colOff>521542</xdr:colOff>
      <xdr:row>33</xdr:row>
      <xdr:rowOff>109723</xdr:rowOff>
    </xdr:from>
    <xdr:to>
      <xdr:col>22</xdr:col>
      <xdr:colOff>186371</xdr:colOff>
      <xdr:row>35</xdr:row>
      <xdr:rowOff>18918</xdr:rowOff>
    </xdr:to>
    <xdr:pic>
      <xdr:nvPicPr>
        <xdr:cNvPr id="90" name="Graphic 89" descr="Bullseye with solid fill">
          <a:extLst>
            <a:ext uri="{FF2B5EF4-FFF2-40B4-BE49-F238E27FC236}">
              <a16:creationId xmlns:a16="http://schemas.microsoft.com/office/drawing/2014/main" id="{8D891EE6-F8BA-4F42-898C-9DF501F9CD83}"/>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3323142" y="6186673"/>
          <a:ext cx="274429" cy="277495"/>
        </a:xfrm>
        <a:prstGeom prst="rect">
          <a:avLst/>
        </a:prstGeom>
      </xdr:spPr>
    </xdr:pic>
    <xdr:clientData/>
  </xdr:twoCellAnchor>
  <xdr:twoCellAnchor>
    <xdr:from>
      <xdr:col>4</xdr:col>
      <xdr:colOff>575469</xdr:colOff>
      <xdr:row>17</xdr:row>
      <xdr:rowOff>140460</xdr:rowOff>
    </xdr:from>
    <xdr:to>
      <xdr:col>6</xdr:col>
      <xdr:colOff>382323</xdr:colOff>
      <xdr:row>20</xdr:row>
      <xdr:rowOff>53145</xdr:rowOff>
    </xdr:to>
    <xdr:sp macro="" textlink="">
      <xdr:nvSpPr>
        <xdr:cNvPr id="91" name="TextBox 90">
          <a:extLst>
            <a:ext uri="{FF2B5EF4-FFF2-40B4-BE49-F238E27FC236}">
              <a16:creationId xmlns:a16="http://schemas.microsoft.com/office/drawing/2014/main" id="{1ED85114-0CCA-40C1-AE9A-049D0CF295E6}"/>
            </a:ext>
          </a:extLst>
        </xdr:cNvPr>
        <xdr:cNvSpPr txBox="1"/>
      </xdr:nvSpPr>
      <xdr:spPr>
        <a:xfrm>
          <a:off x="3030802" y="3199043"/>
          <a:ext cx="1034521" cy="452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372A4"/>
              </a:solidFill>
            </a:rPr>
            <a:t>Income</a:t>
          </a:r>
          <a:endParaRPr lang="en-US" sz="1100">
            <a:solidFill>
              <a:srgbClr val="6372A4"/>
            </a:solidFill>
          </a:endParaRPr>
        </a:p>
      </xdr:txBody>
    </xdr:sp>
    <xdr:clientData/>
  </xdr:twoCellAnchor>
  <xdr:twoCellAnchor>
    <xdr:from>
      <xdr:col>5</xdr:col>
      <xdr:colOff>51594</xdr:colOff>
      <xdr:row>22</xdr:row>
      <xdr:rowOff>63202</xdr:rowOff>
    </xdr:from>
    <xdr:to>
      <xdr:col>6</xdr:col>
      <xdr:colOff>443178</xdr:colOff>
      <xdr:row>24</xdr:row>
      <xdr:rowOff>87016</xdr:rowOff>
    </xdr:to>
    <xdr:sp macro="" textlink="">
      <xdr:nvSpPr>
        <xdr:cNvPr id="92" name="TextBox 91">
          <a:extLst>
            <a:ext uri="{FF2B5EF4-FFF2-40B4-BE49-F238E27FC236}">
              <a16:creationId xmlns:a16="http://schemas.microsoft.com/office/drawing/2014/main" id="{14780DFB-F785-416F-8074-E142657E0591}"/>
            </a:ext>
          </a:extLst>
        </xdr:cNvPr>
        <xdr:cNvSpPr txBox="1"/>
      </xdr:nvSpPr>
      <xdr:spPr>
        <a:xfrm>
          <a:off x="3099594" y="4114502"/>
          <a:ext cx="1001184" cy="392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Expensev</a:t>
          </a:r>
        </a:p>
      </xdr:txBody>
    </xdr:sp>
    <xdr:clientData/>
  </xdr:twoCellAnchor>
  <xdr:twoCellAnchor>
    <xdr:from>
      <xdr:col>5</xdr:col>
      <xdr:colOff>185207</xdr:colOff>
      <xdr:row>28</xdr:row>
      <xdr:rowOff>146045</xdr:rowOff>
    </xdr:from>
    <xdr:to>
      <xdr:col>6</xdr:col>
      <xdr:colOff>552979</xdr:colOff>
      <xdr:row>30</xdr:row>
      <xdr:rowOff>53441</xdr:rowOff>
    </xdr:to>
    <xdr:sp macro="" textlink="">
      <xdr:nvSpPr>
        <xdr:cNvPr id="93" name="TextBox 92">
          <a:extLst>
            <a:ext uri="{FF2B5EF4-FFF2-40B4-BE49-F238E27FC236}">
              <a16:creationId xmlns:a16="http://schemas.microsoft.com/office/drawing/2014/main" id="{290084F3-AABF-4559-9946-737D075CC1D1}"/>
            </a:ext>
          </a:extLst>
        </xdr:cNvPr>
        <xdr:cNvSpPr txBox="1"/>
      </xdr:nvSpPr>
      <xdr:spPr>
        <a:xfrm>
          <a:off x="3233207" y="5302245"/>
          <a:ext cx="977372" cy="275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Debts</a:t>
          </a:r>
          <a:endParaRPr lang="en-US" sz="1100">
            <a:solidFill>
              <a:srgbClr val="6372A4"/>
            </a:solidFill>
          </a:endParaRPr>
        </a:p>
        <a:p>
          <a:endParaRPr lang="en-US" sz="1100"/>
        </a:p>
      </xdr:txBody>
    </xdr:sp>
    <xdr:clientData/>
  </xdr:twoCellAnchor>
  <xdr:twoCellAnchor>
    <xdr:from>
      <xdr:col>5</xdr:col>
      <xdr:colOff>43656</xdr:colOff>
      <xdr:row>33</xdr:row>
      <xdr:rowOff>13230</xdr:rowOff>
    </xdr:from>
    <xdr:to>
      <xdr:col>6</xdr:col>
      <xdr:colOff>353219</xdr:colOff>
      <xdr:row>36</xdr:row>
      <xdr:rowOff>52918</xdr:rowOff>
    </xdr:to>
    <xdr:sp macro="" textlink="">
      <xdr:nvSpPr>
        <xdr:cNvPr id="94" name="TextBox 93">
          <a:extLst>
            <a:ext uri="{FF2B5EF4-FFF2-40B4-BE49-F238E27FC236}">
              <a16:creationId xmlns:a16="http://schemas.microsoft.com/office/drawing/2014/main" id="{81E235B0-0C66-47EC-8C3E-E7A0454CE450}"/>
            </a:ext>
          </a:extLst>
        </xdr:cNvPr>
        <xdr:cNvSpPr txBox="1"/>
      </xdr:nvSpPr>
      <xdr:spPr>
        <a:xfrm>
          <a:off x="3091656" y="6090180"/>
          <a:ext cx="919163" cy="59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Fin Goals</a:t>
          </a:r>
        </a:p>
      </xdr:txBody>
    </xdr:sp>
    <xdr:clientData/>
  </xdr:twoCellAnchor>
  <xdr:twoCellAnchor>
    <xdr:from>
      <xdr:col>4</xdr:col>
      <xdr:colOff>598583</xdr:colOff>
      <xdr:row>26</xdr:row>
      <xdr:rowOff>9761</xdr:rowOff>
    </xdr:from>
    <xdr:to>
      <xdr:col>6</xdr:col>
      <xdr:colOff>345983</xdr:colOff>
      <xdr:row>28</xdr:row>
      <xdr:rowOff>24861</xdr:rowOff>
    </xdr:to>
    <xdr:sp macro="" textlink="">
      <xdr:nvSpPr>
        <xdr:cNvPr id="95" name="TextBox 94">
          <a:extLst>
            <a:ext uri="{FF2B5EF4-FFF2-40B4-BE49-F238E27FC236}">
              <a16:creationId xmlns:a16="http://schemas.microsoft.com/office/drawing/2014/main" id="{F54DF88C-49DA-434C-8AD6-3B1F79165352}"/>
            </a:ext>
          </a:extLst>
        </xdr:cNvPr>
        <xdr:cNvSpPr txBox="1"/>
      </xdr:nvSpPr>
      <xdr:spPr>
        <a:xfrm>
          <a:off x="3036983" y="4797661"/>
          <a:ext cx="966600" cy="38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6372A4"/>
              </a:solidFill>
            </a:rPr>
            <a:t>Investmants</a:t>
          </a:r>
        </a:p>
      </xdr:txBody>
    </xdr:sp>
    <xdr:clientData/>
  </xdr:twoCellAnchor>
  <xdr:twoCellAnchor>
    <xdr:from>
      <xdr:col>4</xdr:col>
      <xdr:colOff>454327</xdr:colOff>
      <xdr:row>14</xdr:row>
      <xdr:rowOff>54595</xdr:rowOff>
    </xdr:from>
    <xdr:to>
      <xdr:col>6</xdr:col>
      <xdr:colOff>500818</xdr:colOff>
      <xdr:row>15</xdr:row>
      <xdr:rowOff>172735</xdr:rowOff>
    </xdr:to>
    <xdr:sp macro="" textlink="">
      <xdr:nvSpPr>
        <xdr:cNvPr id="96" name="TextBox 95">
          <a:extLst>
            <a:ext uri="{FF2B5EF4-FFF2-40B4-BE49-F238E27FC236}">
              <a16:creationId xmlns:a16="http://schemas.microsoft.com/office/drawing/2014/main" id="{14E8AEDD-F101-4F4F-BCC7-78BC5BDC2DDD}"/>
            </a:ext>
          </a:extLst>
        </xdr:cNvPr>
        <xdr:cNvSpPr txBox="1"/>
      </xdr:nvSpPr>
      <xdr:spPr>
        <a:xfrm>
          <a:off x="2892727" y="2632695"/>
          <a:ext cx="1265691" cy="302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rgbClr val="6372A4"/>
              </a:solidFill>
            </a:rPr>
            <a:t>Blanace</a:t>
          </a:r>
        </a:p>
      </xdr:txBody>
    </xdr:sp>
    <xdr:clientData/>
  </xdr:twoCellAnchor>
  <xdr:twoCellAnchor>
    <xdr:from>
      <xdr:col>22</xdr:col>
      <xdr:colOff>259293</xdr:colOff>
      <xdr:row>21</xdr:row>
      <xdr:rowOff>117929</xdr:rowOff>
    </xdr:from>
    <xdr:to>
      <xdr:col>23</xdr:col>
      <xdr:colOff>571499</xdr:colOff>
      <xdr:row>23</xdr:row>
      <xdr:rowOff>74082</xdr:rowOff>
    </xdr:to>
    <xdr:sp macro="" textlink="Processing!A16">
      <xdr:nvSpPr>
        <xdr:cNvPr id="97" name="TextBox 96">
          <a:extLst>
            <a:ext uri="{FF2B5EF4-FFF2-40B4-BE49-F238E27FC236}">
              <a16:creationId xmlns:a16="http://schemas.microsoft.com/office/drawing/2014/main" id="{A40DEBE5-17EA-49B7-89BB-655E57CEAB43}"/>
            </a:ext>
          </a:extLst>
        </xdr:cNvPr>
        <xdr:cNvSpPr txBox="1"/>
      </xdr:nvSpPr>
      <xdr:spPr>
        <a:xfrm>
          <a:off x="13670493" y="3985079"/>
          <a:ext cx="921806" cy="324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a:solidFill>
                <a:srgbClr val="6372A4"/>
              </a:solidFill>
              <a:latin typeface="Aptos Narrow"/>
              <a:ea typeface="+mn-ea"/>
              <a:cs typeface="+mn-cs"/>
            </a:rPr>
            <a:t>Budegting</a:t>
          </a:r>
        </a:p>
      </xdr:txBody>
    </xdr:sp>
    <xdr:clientData/>
  </xdr:twoCellAnchor>
  <xdr:twoCellAnchor>
    <xdr:from>
      <xdr:col>23</xdr:col>
      <xdr:colOff>536730</xdr:colOff>
      <xdr:row>21</xdr:row>
      <xdr:rowOff>122253</xdr:rowOff>
    </xdr:from>
    <xdr:to>
      <xdr:col>25</xdr:col>
      <xdr:colOff>303894</xdr:colOff>
      <xdr:row>23</xdr:row>
      <xdr:rowOff>117172</xdr:rowOff>
    </xdr:to>
    <xdr:sp macro="" textlink="Processing!B16">
      <xdr:nvSpPr>
        <xdr:cNvPr id="98" name="TextBox 97">
          <a:extLst>
            <a:ext uri="{FF2B5EF4-FFF2-40B4-BE49-F238E27FC236}">
              <a16:creationId xmlns:a16="http://schemas.microsoft.com/office/drawing/2014/main" id="{EBC36202-FEC8-4183-89BD-1A2898F90AEF}"/>
            </a:ext>
          </a:extLst>
        </xdr:cNvPr>
        <xdr:cNvSpPr txBox="1"/>
      </xdr:nvSpPr>
      <xdr:spPr>
        <a:xfrm>
          <a:off x="14557530" y="3989403"/>
          <a:ext cx="986364"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C9D3E8D-52D8-4F2C-8048-765B1CA0816D}" type="TxLink">
            <a:rPr lang="en-US" sz="1400" b="0" i="0" u="none" strike="noStrike">
              <a:solidFill>
                <a:schemeClr val="tx2">
                  <a:lumMod val="25000"/>
                  <a:lumOff val="75000"/>
                </a:schemeClr>
              </a:solidFill>
              <a:latin typeface="Aptos Narrow"/>
            </a:rPr>
            <a:pPr algn="l"/>
            <a:t>$281,096</a:t>
          </a:fld>
          <a:endParaRPr lang="en-US" sz="1600" b="1" i="1">
            <a:solidFill>
              <a:schemeClr val="tx2">
                <a:lumMod val="25000"/>
                <a:lumOff val="75000"/>
              </a:schemeClr>
            </a:solidFill>
          </a:endParaRPr>
        </a:p>
      </xdr:txBody>
    </xdr:sp>
    <xdr:clientData/>
  </xdr:twoCellAnchor>
  <xdr:twoCellAnchor>
    <xdr:from>
      <xdr:col>23</xdr:col>
      <xdr:colOff>501617</xdr:colOff>
      <xdr:row>24</xdr:row>
      <xdr:rowOff>4953</xdr:rowOff>
    </xdr:from>
    <xdr:to>
      <xdr:col>25</xdr:col>
      <xdr:colOff>33304</xdr:colOff>
      <xdr:row>25</xdr:row>
      <xdr:rowOff>181301</xdr:rowOff>
    </xdr:to>
    <xdr:sp macro="" textlink="Processing!D14">
      <xdr:nvSpPr>
        <xdr:cNvPr id="99" name="TextBox 98">
          <a:extLst>
            <a:ext uri="{FF2B5EF4-FFF2-40B4-BE49-F238E27FC236}">
              <a16:creationId xmlns:a16="http://schemas.microsoft.com/office/drawing/2014/main" id="{41CECA3C-22EB-4E40-B011-9944EA97192B}"/>
            </a:ext>
          </a:extLst>
        </xdr:cNvPr>
        <xdr:cNvSpPr txBox="1"/>
      </xdr:nvSpPr>
      <xdr:spPr>
        <a:xfrm>
          <a:off x="14522417" y="4424553"/>
          <a:ext cx="750887" cy="360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BCFE1B3-8319-4848-AD16-7195E0564B31}" type="TxLink">
            <a:rPr lang="en-US" sz="1400" b="0" i="0" u="none" strike="noStrike">
              <a:solidFill>
                <a:schemeClr val="tx2">
                  <a:lumMod val="25000"/>
                  <a:lumOff val="75000"/>
                </a:schemeClr>
              </a:solidFill>
              <a:latin typeface="Aptos Narrow"/>
            </a:rPr>
            <a:pPr algn="r"/>
            <a:t>$17,800</a:t>
          </a:fld>
          <a:endParaRPr lang="en-US" sz="1600" b="1" i="1">
            <a:solidFill>
              <a:schemeClr val="tx2">
                <a:lumMod val="25000"/>
                <a:lumOff val="75000"/>
              </a:schemeClr>
            </a:solidFill>
          </a:endParaRPr>
        </a:p>
      </xdr:txBody>
    </xdr:sp>
    <xdr:clientData/>
  </xdr:twoCellAnchor>
  <xdr:twoCellAnchor>
    <xdr:from>
      <xdr:col>23</xdr:col>
      <xdr:colOff>565457</xdr:colOff>
      <xdr:row>28</xdr:row>
      <xdr:rowOff>145142</xdr:rowOff>
    </xdr:from>
    <xdr:to>
      <xdr:col>25</xdr:col>
      <xdr:colOff>81643</xdr:colOff>
      <xdr:row>30</xdr:row>
      <xdr:rowOff>136448</xdr:rowOff>
    </xdr:to>
    <xdr:sp macro="" textlink="Processing!H24">
      <xdr:nvSpPr>
        <xdr:cNvPr id="100" name="TextBox 99">
          <a:extLst>
            <a:ext uri="{FF2B5EF4-FFF2-40B4-BE49-F238E27FC236}">
              <a16:creationId xmlns:a16="http://schemas.microsoft.com/office/drawing/2014/main" id="{7920C59F-F0C7-4454-AB93-EEE95554FEDC}"/>
            </a:ext>
          </a:extLst>
        </xdr:cNvPr>
        <xdr:cNvSpPr txBox="1"/>
      </xdr:nvSpPr>
      <xdr:spPr>
        <a:xfrm>
          <a:off x="14586257" y="5301342"/>
          <a:ext cx="735386" cy="359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14A13A3-2F80-4D92-BA43-F3C4056C2E86}" type="TxLink">
            <a:rPr lang="en-US" sz="1400" b="0" i="0" u="none" strike="noStrike">
              <a:solidFill>
                <a:schemeClr val="tx2">
                  <a:lumMod val="25000"/>
                  <a:lumOff val="75000"/>
                </a:schemeClr>
              </a:solidFill>
              <a:latin typeface="Aptos Narrow"/>
              <a:ea typeface="+mn-ea"/>
              <a:cs typeface="+mn-cs"/>
            </a:rPr>
            <a:pPr marL="0" indent="0" algn="l"/>
            <a:t>$121</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11</xdr:col>
      <xdr:colOff>183121</xdr:colOff>
      <xdr:row>13</xdr:row>
      <xdr:rowOff>100676</xdr:rowOff>
    </xdr:from>
    <xdr:to>
      <xdr:col>12</xdr:col>
      <xdr:colOff>564118</xdr:colOff>
      <xdr:row>15</xdr:row>
      <xdr:rowOff>95596</xdr:rowOff>
    </xdr:to>
    <xdr:sp macro="" textlink="Processing!O20">
      <xdr:nvSpPr>
        <xdr:cNvPr id="101" name="TextBox 100">
          <a:extLst>
            <a:ext uri="{FF2B5EF4-FFF2-40B4-BE49-F238E27FC236}">
              <a16:creationId xmlns:a16="http://schemas.microsoft.com/office/drawing/2014/main" id="{9C23A002-0EB3-46F6-823A-BD6A0E77196B}"/>
            </a:ext>
          </a:extLst>
        </xdr:cNvPr>
        <xdr:cNvSpPr txBox="1"/>
      </xdr:nvSpPr>
      <xdr:spPr>
        <a:xfrm>
          <a:off x="6935288" y="2439593"/>
          <a:ext cx="994830" cy="354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EC8FCC-96DD-489D-9D1F-BDA06E3B6D0B}" type="TxLink">
            <a:rPr lang="en-US" sz="1200" b="0" i="0" u="none" strike="noStrike">
              <a:solidFill>
                <a:schemeClr val="tx2">
                  <a:lumMod val="25000"/>
                  <a:lumOff val="75000"/>
                </a:schemeClr>
              </a:solidFill>
              <a:latin typeface="Aptos Narrow"/>
              <a:ea typeface="+mn-ea"/>
              <a:cs typeface="+mn-cs"/>
            </a:rPr>
            <a:pPr marL="0" indent="0" algn="l"/>
            <a:t> $95.42 </a:t>
          </a:fld>
          <a:endParaRPr lang="en-US" sz="1200" b="0" i="0" u="none" strike="noStrike">
            <a:solidFill>
              <a:schemeClr val="tx2">
                <a:lumMod val="25000"/>
                <a:lumOff val="75000"/>
              </a:schemeClr>
            </a:solidFill>
            <a:latin typeface="Aptos Narrow"/>
            <a:ea typeface="+mn-ea"/>
            <a:cs typeface="+mn-cs"/>
          </a:endParaRPr>
        </a:p>
      </xdr:txBody>
    </xdr:sp>
    <xdr:clientData/>
  </xdr:twoCellAnchor>
  <xdr:twoCellAnchor>
    <xdr:from>
      <xdr:col>12</xdr:col>
      <xdr:colOff>539751</xdr:colOff>
      <xdr:row>11</xdr:row>
      <xdr:rowOff>63501</xdr:rowOff>
    </xdr:from>
    <xdr:to>
      <xdr:col>20</xdr:col>
      <xdr:colOff>306916</xdr:colOff>
      <xdr:row>31</xdr:row>
      <xdr:rowOff>169334</xdr:rowOff>
    </xdr:to>
    <xdr:sp macro="" textlink="">
      <xdr:nvSpPr>
        <xdr:cNvPr id="109" name="Rectangle: Rounded Corners 108">
          <a:extLst>
            <a:ext uri="{FF2B5EF4-FFF2-40B4-BE49-F238E27FC236}">
              <a16:creationId xmlns:a16="http://schemas.microsoft.com/office/drawing/2014/main" id="{42D21FFD-4EDA-41DA-9B18-11BA5714D70A}"/>
            </a:ext>
          </a:extLst>
        </xdr:cNvPr>
        <xdr:cNvSpPr/>
      </xdr:nvSpPr>
      <xdr:spPr>
        <a:xfrm>
          <a:off x="7905751" y="2042584"/>
          <a:ext cx="4677832" cy="3704167"/>
        </a:xfrm>
        <a:prstGeom prst="roundRect">
          <a:avLst>
            <a:gd name="adj" fmla="val 12947"/>
          </a:avLst>
        </a:prstGeom>
        <a:gradFill>
          <a:gsLst>
            <a:gs pos="0">
              <a:srgbClr val="323687"/>
            </a:gs>
            <a:gs pos="41000">
              <a:srgbClr val="181A3C"/>
            </a:gs>
          </a:gsLst>
          <a:lin ang="7800000" scaled="0"/>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xdr:txBody>
    </xdr:sp>
    <xdr:clientData/>
  </xdr:twoCellAnchor>
  <xdr:twoCellAnchor>
    <xdr:from>
      <xdr:col>12</xdr:col>
      <xdr:colOff>518583</xdr:colOff>
      <xdr:row>12</xdr:row>
      <xdr:rowOff>63500</xdr:rowOff>
    </xdr:from>
    <xdr:to>
      <xdr:col>20</xdr:col>
      <xdr:colOff>179916</xdr:colOff>
      <xdr:row>29</xdr:row>
      <xdr:rowOff>10583</xdr:rowOff>
    </xdr:to>
    <mc:AlternateContent xmlns:mc="http://schemas.openxmlformats.org/markup-compatibility/2006">
      <mc:Choice xmlns:cx1="http://schemas.microsoft.com/office/drawing/2015/9/8/chartex" Requires="cx1">
        <xdr:graphicFrame macro="">
          <xdr:nvGraphicFramePr>
            <xdr:cNvPr id="108" name="Chart 107">
              <a:extLst>
                <a:ext uri="{FF2B5EF4-FFF2-40B4-BE49-F238E27FC236}">
                  <a16:creationId xmlns:a16="http://schemas.microsoft.com/office/drawing/2014/main" id="{181D31C5-7712-4A35-8D7E-FC3B581F32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6"/>
            </a:graphicData>
          </a:graphic>
        </xdr:graphicFrame>
      </mc:Choice>
      <mc:Fallback>
        <xdr:sp macro="" textlink="">
          <xdr:nvSpPr>
            <xdr:cNvPr id="0" name=""/>
            <xdr:cNvSpPr>
              <a:spLocks noTextEdit="1"/>
            </xdr:cNvSpPr>
          </xdr:nvSpPr>
          <xdr:spPr>
            <a:xfrm>
              <a:off x="7742343" y="2258060"/>
              <a:ext cx="4477173" cy="305604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511509</xdr:colOff>
      <xdr:row>0</xdr:row>
      <xdr:rowOff>0</xdr:rowOff>
    </xdr:from>
    <xdr:to>
      <xdr:col>26</xdr:col>
      <xdr:colOff>299961</xdr:colOff>
      <xdr:row>39</xdr:row>
      <xdr:rowOff>133350</xdr:rowOff>
    </xdr:to>
    <xdr:sp macro="" textlink="">
      <xdr:nvSpPr>
        <xdr:cNvPr id="2" name="MyDachbord">
          <a:extLst>
            <a:ext uri="{FF2B5EF4-FFF2-40B4-BE49-F238E27FC236}">
              <a16:creationId xmlns:a16="http://schemas.microsoft.com/office/drawing/2014/main" id="{6A3CBB9D-04D4-42A3-ACE0-DD57DE47F202}"/>
            </a:ext>
          </a:extLst>
        </xdr:cNvPr>
        <xdr:cNvSpPr/>
      </xdr:nvSpPr>
      <xdr:spPr>
        <a:xfrm>
          <a:off x="2340309" y="0"/>
          <a:ext cx="13809252" cy="7315200"/>
        </a:xfrm>
        <a:prstGeom prst="roundRect">
          <a:avLst>
            <a:gd name="adj" fmla="val 6771"/>
          </a:avLst>
        </a:prstGeom>
        <a:gradFill flip="none" rotWithShape="1">
          <a:gsLst>
            <a:gs pos="0">
              <a:srgbClr val="1F2357"/>
            </a:gs>
            <a:gs pos="75000">
              <a:srgbClr val="10123B"/>
            </a:gs>
          </a:gsLst>
          <a:lin ang="8100000" scaled="1"/>
          <a:tileRect/>
        </a:gradFill>
        <a:ln w="9525">
          <a:gradFill flip="none" rotWithShape="1">
            <a:gsLst>
              <a:gs pos="0">
                <a:srgbClr val="10123B"/>
              </a:gs>
              <a:gs pos="100000">
                <a:srgbClr val="333787"/>
              </a:gs>
            </a:gsLst>
            <a:lin ang="8100000" scaled="1"/>
            <a:tileRect/>
          </a:gradFill>
        </a:ln>
        <a:effectLst>
          <a:outerShdw blurRad="444500" dist="2032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115285</xdr:colOff>
      <xdr:row>1</xdr:row>
      <xdr:rowOff>73902</xdr:rowOff>
    </xdr:from>
    <xdr:to>
      <xdr:col>25</xdr:col>
      <xdr:colOff>485277</xdr:colOff>
      <xdr:row>37</xdr:row>
      <xdr:rowOff>116522</xdr:rowOff>
    </xdr:to>
    <xdr:sp macro="" textlink="">
      <xdr:nvSpPr>
        <xdr:cNvPr id="3" name="MyDashboard">
          <a:extLst>
            <a:ext uri="{FF2B5EF4-FFF2-40B4-BE49-F238E27FC236}">
              <a16:creationId xmlns:a16="http://schemas.microsoft.com/office/drawing/2014/main" id="{30C77F67-39FC-4167-98A1-BDC0A6A0E1A7}"/>
            </a:ext>
          </a:extLst>
        </xdr:cNvPr>
        <xdr:cNvSpPr/>
      </xdr:nvSpPr>
      <xdr:spPr>
        <a:xfrm>
          <a:off x="2553685" y="258052"/>
          <a:ext cx="13171592" cy="6672020"/>
        </a:xfrm>
        <a:prstGeom prst="roundRect">
          <a:avLst>
            <a:gd name="adj" fmla="val 8581"/>
          </a:avLst>
        </a:prstGeom>
        <a:gradFill flip="none" rotWithShape="1">
          <a:gsLst>
            <a:gs pos="0">
              <a:srgbClr val="20245A"/>
            </a:gs>
            <a:gs pos="75000">
              <a:srgbClr val="10123B"/>
            </a:gs>
          </a:gsLst>
          <a:lin ang="8100000" scaled="1"/>
          <a:tileRect/>
        </a:gradFill>
        <a:ln w="9525">
          <a:gradFill flip="none" rotWithShape="1">
            <a:gsLst>
              <a:gs pos="0">
                <a:srgbClr val="10123B"/>
              </a:gs>
              <a:gs pos="100000">
                <a:srgbClr val="333787"/>
              </a:gs>
            </a:gsLst>
            <a:lin ang="8100000" scaled="1"/>
            <a:tileRect/>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501950</xdr:colOff>
      <xdr:row>6</xdr:row>
      <xdr:rowOff>152216</xdr:rowOff>
    </xdr:from>
    <xdr:to>
      <xdr:col>6</xdr:col>
      <xdr:colOff>572966</xdr:colOff>
      <xdr:row>35</xdr:row>
      <xdr:rowOff>76333</xdr:rowOff>
    </xdr:to>
    <xdr:sp macro="" textlink="">
      <xdr:nvSpPr>
        <xdr:cNvPr id="4" name="Rectangle: Rounded Corners 3">
          <a:extLst>
            <a:ext uri="{FF2B5EF4-FFF2-40B4-BE49-F238E27FC236}">
              <a16:creationId xmlns:a16="http://schemas.microsoft.com/office/drawing/2014/main" id="{483A3AC2-5013-4578-A93A-83EC8DA3C8D8}"/>
            </a:ext>
          </a:extLst>
        </xdr:cNvPr>
        <xdr:cNvSpPr/>
      </xdr:nvSpPr>
      <xdr:spPr>
        <a:xfrm>
          <a:off x="2940350" y="1257116"/>
          <a:ext cx="1290216" cy="5264467"/>
        </a:xfrm>
        <a:prstGeom prst="roundRect">
          <a:avLst>
            <a:gd name="adj" fmla="val 12947"/>
          </a:avLst>
        </a:prstGeom>
        <a:gradFill>
          <a:gsLst>
            <a:gs pos="0">
              <a:srgbClr val="323687"/>
            </a:gs>
            <a:gs pos="41000">
              <a:srgbClr val="181A3C"/>
            </a:gs>
          </a:gsLst>
          <a:lin ang="7800000" scaled="0"/>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xdr:txBody>
    </xdr:sp>
    <xdr:clientData/>
  </xdr:twoCellAnchor>
  <xdr:twoCellAnchor>
    <xdr:from>
      <xdr:col>6</xdr:col>
      <xdr:colOff>606727</xdr:colOff>
      <xdr:row>3</xdr:row>
      <xdr:rowOff>32201</xdr:rowOff>
    </xdr:from>
    <xdr:to>
      <xdr:col>25</xdr:col>
      <xdr:colOff>204984</xdr:colOff>
      <xdr:row>5</xdr:row>
      <xdr:rowOff>108401</xdr:rowOff>
    </xdr:to>
    <xdr:sp macro="" textlink="">
      <xdr:nvSpPr>
        <xdr:cNvPr id="5" name="Rectangle: Rounded Corners 4">
          <a:extLst>
            <a:ext uri="{FF2B5EF4-FFF2-40B4-BE49-F238E27FC236}">
              <a16:creationId xmlns:a16="http://schemas.microsoft.com/office/drawing/2014/main" id="{E0466C08-03E0-47AC-9FB1-9B7C357B8009}"/>
            </a:ext>
          </a:extLst>
        </xdr:cNvPr>
        <xdr:cNvSpPr/>
      </xdr:nvSpPr>
      <xdr:spPr>
        <a:xfrm>
          <a:off x="4264327" y="584651"/>
          <a:ext cx="11180657" cy="444500"/>
        </a:xfrm>
        <a:prstGeom prst="roundRect">
          <a:avLst>
            <a:gd name="adj" fmla="val 38854"/>
          </a:avLst>
        </a:prstGeom>
        <a:gradFill>
          <a:gsLst>
            <a:gs pos="87935">
              <a:srgbClr val="1B1D45"/>
            </a:gs>
            <a:gs pos="20100">
              <a:srgbClr val="2D3078"/>
            </a:gs>
            <a:gs pos="0">
              <a:srgbClr val="323687"/>
            </a:gs>
            <a:gs pos="100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223764</xdr:colOff>
      <xdr:row>7</xdr:row>
      <xdr:rowOff>54880</xdr:rowOff>
    </xdr:from>
    <xdr:to>
      <xdr:col>25</xdr:col>
      <xdr:colOff>371084</xdr:colOff>
      <xdr:row>19</xdr:row>
      <xdr:rowOff>54879</xdr:rowOff>
    </xdr:to>
    <xdr:sp macro="" textlink="">
      <xdr:nvSpPr>
        <xdr:cNvPr id="8" name="Rectangle: Rounded Corners 7">
          <a:extLst>
            <a:ext uri="{FF2B5EF4-FFF2-40B4-BE49-F238E27FC236}">
              <a16:creationId xmlns:a16="http://schemas.microsoft.com/office/drawing/2014/main" id="{6BB1D393-5E3F-4961-8134-C856627CE78F}"/>
            </a:ext>
          </a:extLst>
        </xdr:cNvPr>
        <xdr:cNvSpPr/>
      </xdr:nvSpPr>
      <xdr:spPr>
        <a:xfrm>
          <a:off x="13025364" y="1343930"/>
          <a:ext cx="2585720" cy="2209799"/>
        </a:xfrm>
        <a:prstGeom prst="roundRect">
          <a:avLst>
            <a:gd name="adj" fmla="val 11111"/>
          </a:avLst>
        </a:prstGeom>
        <a:gradFill>
          <a:gsLst>
            <a:gs pos="0">
              <a:srgbClr val="323687"/>
            </a:gs>
            <a:gs pos="80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232835</xdr:colOff>
      <xdr:row>8</xdr:row>
      <xdr:rowOff>0</xdr:rowOff>
    </xdr:from>
    <xdr:to>
      <xdr:col>20</xdr:col>
      <xdr:colOff>465667</xdr:colOff>
      <xdr:row>34</xdr:row>
      <xdr:rowOff>169333</xdr:rowOff>
    </xdr:to>
    <xdr:sp macro="" textlink="">
      <xdr:nvSpPr>
        <xdr:cNvPr id="10" name="Rectangle: Rounded Corners 9">
          <a:extLst>
            <a:ext uri="{FF2B5EF4-FFF2-40B4-BE49-F238E27FC236}">
              <a16:creationId xmlns:a16="http://schemas.microsoft.com/office/drawing/2014/main" id="{3673AE42-EFE1-47C9-A5AD-E7070C9A7358}"/>
            </a:ext>
          </a:extLst>
        </xdr:cNvPr>
        <xdr:cNvSpPr/>
      </xdr:nvSpPr>
      <xdr:spPr>
        <a:xfrm>
          <a:off x="4529668" y="1439333"/>
          <a:ext cx="8212666" cy="4847167"/>
        </a:xfrm>
        <a:prstGeom prst="roundRect">
          <a:avLst>
            <a:gd name="adj" fmla="val 6746"/>
          </a:avLst>
        </a:prstGeom>
        <a:gradFill>
          <a:gsLst>
            <a:gs pos="0">
              <a:srgbClr val="323687"/>
            </a:gs>
            <a:gs pos="75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226256</xdr:colOff>
      <xdr:row>20</xdr:row>
      <xdr:rowOff>151900</xdr:rowOff>
    </xdr:from>
    <xdr:to>
      <xdr:col>25</xdr:col>
      <xdr:colOff>384159</xdr:colOff>
      <xdr:row>35</xdr:row>
      <xdr:rowOff>174759</xdr:rowOff>
    </xdr:to>
    <xdr:sp macro="" textlink="">
      <xdr:nvSpPr>
        <xdr:cNvPr id="11" name="Rectangle: Rounded Corners 10">
          <a:extLst>
            <a:ext uri="{FF2B5EF4-FFF2-40B4-BE49-F238E27FC236}">
              <a16:creationId xmlns:a16="http://schemas.microsoft.com/office/drawing/2014/main" id="{B2044255-1B4C-4E41-8C8D-57FA00EA14A3}"/>
            </a:ext>
          </a:extLst>
        </xdr:cNvPr>
        <xdr:cNvSpPr/>
      </xdr:nvSpPr>
      <xdr:spPr>
        <a:xfrm>
          <a:off x="13027856" y="3834900"/>
          <a:ext cx="2596303" cy="2785109"/>
        </a:xfrm>
        <a:prstGeom prst="roundRect">
          <a:avLst>
            <a:gd name="adj" fmla="val 13567"/>
          </a:avLst>
        </a:prstGeom>
        <a:gradFill>
          <a:gsLst>
            <a:gs pos="0">
              <a:srgbClr val="323687"/>
            </a:gs>
            <a:gs pos="74000">
              <a:srgbClr val="181A3C"/>
            </a:gs>
          </a:gsLst>
          <a:lin ang="8100000" scaled="1"/>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325437</xdr:colOff>
      <xdr:row>3</xdr:row>
      <xdr:rowOff>31751</xdr:rowOff>
    </xdr:from>
    <xdr:to>
      <xdr:col>7</xdr:col>
      <xdr:colOff>55562</xdr:colOff>
      <xdr:row>5</xdr:row>
      <xdr:rowOff>150811</xdr:rowOff>
    </xdr:to>
    <xdr:sp macro="" textlink="">
      <xdr:nvSpPr>
        <xdr:cNvPr id="14" name="TextBox 13">
          <a:extLst>
            <a:ext uri="{FF2B5EF4-FFF2-40B4-BE49-F238E27FC236}">
              <a16:creationId xmlns:a16="http://schemas.microsoft.com/office/drawing/2014/main" id="{301E99C4-F0AD-4B99-93EF-D937F18E9EE3}"/>
            </a:ext>
          </a:extLst>
        </xdr:cNvPr>
        <xdr:cNvSpPr txBox="1"/>
      </xdr:nvSpPr>
      <xdr:spPr>
        <a:xfrm>
          <a:off x="3373437" y="584201"/>
          <a:ext cx="949325" cy="48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tx2">
                  <a:lumMod val="50000"/>
                  <a:lumOff val="50000"/>
                </a:schemeClr>
              </a:solidFill>
            </a:rPr>
            <a:t>PERSONAL</a:t>
          </a:r>
          <a:r>
            <a:rPr lang="en-US" sz="1100" b="1" i="1">
              <a:solidFill>
                <a:schemeClr val="tx2">
                  <a:lumMod val="50000"/>
                  <a:lumOff val="50000"/>
                </a:schemeClr>
              </a:solidFill>
            </a:rPr>
            <a:t> </a:t>
          </a:r>
        </a:p>
        <a:p>
          <a:r>
            <a:rPr lang="en-US" sz="1100" b="1" i="1">
              <a:solidFill>
                <a:schemeClr val="tx2">
                  <a:lumMod val="50000"/>
                  <a:lumOff val="50000"/>
                </a:schemeClr>
              </a:solidFill>
            </a:rPr>
            <a:t>FINACE</a:t>
          </a:r>
        </a:p>
      </xdr:txBody>
    </xdr:sp>
    <xdr:clientData/>
  </xdr:twoCellAnchor>
  <xdr:twoCellAnchor editAs="oneCell">
    <xdr:from>
      <xdr:col>4</xdr:col>
      <xdr:colOff>484187</xdr:colOff>
      <xdr:row>3</xdr:row>
      <xdr:rowOff>39687</xdr:rowOff>
    </xdr:from>
    <xdr:to>
      <xdr:col>5</xdr:col>
      <xdr:colOff>330199</xdr:colOff>
      <xdr:row>5</xdr:row>
      <xdr:rowOff>131762</xdr:rowOff>
    </xdr:to>
    <xdr:pic>
      <xdr:nvPicPr>
        <xdr:cNvPr id="15" name="Graphic 14" descr="Pie chart outline">
          <a:extLst>
            <a:ext uri="{FF2B5EF4-FFF2-40B4-BE49-F238E27FC236}">
              <a16:creationId xmlns:a16="http://schemas.microsoft.com/office/drawing/2014/main" id="{3DA8AD5B-6FB1-4E29-A6DB-D9F891D107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22587" y="592137"/>
          <a:ext cx="455612" cy="460375"/>
        </a:xfrm>
        <a:prstGeom prst="rect">
          <a:avLst/>
        </a:prstGeom>
      </xdr:spPr>
    </xdr:pic>
    <xdr:clientData/>
  </xdr:twoCellAnchor>
  <xdr:twoCellAnchor>
    <xdr:from>
      <xdr:col>5</xdr:col>
      <xdr:colOff>380998</xdr:colOff>
      <xdr:row>3</xdr:row>
      <xdr:rowOff>7939</xdr:rowOff>
    </xdr:from>
    <xdr:to>
      <xdr:col>5</xdr:col>
      <xdr:colOff>380999</xdr:colOff>
      <xdr:row>5</xdr:row>
      <xdr:rowOff>127002</xdr:rowOff>
    </xdr:to>
    <xdr:cxnSp macro="">
      <xdr:nvCxnSpPr>
        <xdr:cNvPr id="16" name="Straight Connector 15">
          <a:extLst>
            <a:ext uri="{FF2B5EF4-FFF2-40B4-BE49-F238E27FC236}">
              <a16:creationId xmlns:a16="http://schemas.microsoft.com/office/drawing/2014/main" id="{07F258BE-D0C5-4F98-8C06-1D8827FAFA04}"/>
            </a:ext>
          </a:extLst>
        </xdr:cNvPr>
        <xdr:cNvCxnSpPr/>
      </xdr:nvCxnSpPr>
      <xdr:spPr>
        <a:xfrm>
          <a:off x="3428998" y="560389"/>
          <a:ext cx="1" cy="487363"/>
        </a:xfrm>
        <a:prstGeom prst="line">
          <a:avLst/>
        </a:prstGeom>
        <a:ln>
          <a:solidFill>
            <a:schemeClr val="bg2"/>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1676</xdr:colOff>
      <xdr:row>10</xdr:row>
      <xdr:rowOff>79375</xdr:rowOff>
    </xdr:from>
    <xdr:to>
      <xdr:col>6</xdr:col>
      <xdr:colOff>414427</xdr:colOff>
      <xdr:row>12</xdr:row>
      <xdr:rowOff>47625</xdr:rowOff>
    </xdr:to>
    <xdr:sp macro="" textlink="">
      <xdr:nvSpPr>
        <xdr:cNvPr id="17" name="TextBox 16">
          <a:extLst>
            <a:ext uri="{FF2B5EF4-FFF2-40B4-BE49-F238E27FC236}">
              <a16:creationId xmlns:a16="http://schemas.microsoft.com/office/drawing/2014/main" id="{26D35C58-6AA3-47BA-AE31-017DE6F0D8C9}"/>
            </a:ext>
          </a:extLst>
        </xdr:cNvPr>
        <xdr:cNvSpPr txBox="1"/>
      </xdr:nvSpPr>
      <xdr:spPr>
        <a:xfrm>
          <a:off x="3049676" y="1920875"/>
          <a:ext cx="1022351"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bg1"/>
              </a:solidFill>
            </a:rPr>
            <a:t>Dashboard</a:t>
          </a:r>
          <a:endParaRPr lang="en-US" sz="1100" b="1" i="1">
            <a:solidFill>
              <a:schemeClr val="bg1"/>
            </a:solidFill>
          </a:endParaRPr>
        </a:p>
        <a:p>
          <a:pPr algn="ctr"/>
          <a:endParaRPr lang="en-US" sz="1050">
            <a:solidFill>
              <a:schemeClr val="bg1"/>
            </a:solidFill>
          </a:endParaRPr>
        </a:p>
      </xdr:txBody>
    </xdr:sp>
    <xdr:clientData/>
  </xdr:twoCellAnchor>
  <xdr:twoCellAnchor editAs="oneCell">
    <xdr:from>
      <xdr:col>5</xdr:col>
      <xdr:colOff>40571</xdr:colOff>
      <xdr:row>6</xdr:row>
      <xdr:rowOff>103187</xdr:rowOff>
    </xdr:from>
    <xdr:to>
      <xdr:col>6</xdr:col>
      <xdr:colOff>343784</xdr:colOff>
      <xdr:row>11</xdr:row>
      <xdr:rowOff>31749</xdr:rowOff>
    </xdr:to>
    <xdr:pic>
      <xdr:nvPicPr>
        <xdr:cNvPr id="18" name="Graphic 17" descr="Home with solid fill">
          <a:hlinkClick xmlns:r="http://schemas.openxmlformats.org/officeDocument/2006/relationships" r:id="rId3"/>
          <a:extLst>
            <a:ext uri="{FF2B5EF4-FFF2-40B4-BE49-F238E27FC236}">
              <a16:creationId xmlns:a16="http://schemas.microsoft.com/office/drawing/2014/main" id="{427D1DE7-4094-447A-9647-1ABDDA3190D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88571" y="1208087"/>
          <a:ext cx="912813" cy="849312"/>
        </a:xfrm>
        <a:prstGeom prst="rect">
          <a:avLst/>
        </a:prstGeom>
        <a:effectLst>
          <a:glow rad="127000">
            <a:srgbClr val="CEC5FF">
              <a:alpha val="43000"/>
            </a:srgbClr>
          </a:glow>
        </a:effectLst>
      </xdr:spPr>
    </xdr:pic>
    <xdr:clientData/>
  </xdr:twoCellAnchor>
  <xdr:twoCellAnchor>
    <xdr:from>
      <xdr:col>23</xdr:col>
      <xdr:colOff>127000</xdr:colOff>
      <xdr:row>17</xdr:row>
      <xdr:rowOff>13019</xdr:rowOff>
    </xdr:from>
    <xdr:to>
      <xdr:col>25</xdr:col>
      <xdr:colOff>23813</xdr:colOff>
      <xdr:row>19</xdr:row>
      <xdr:rowOff>7938</xdr:rowOff>
    </xdr:to>
    <xdr:sp macro="" textlink="Processing!K6">
      <xdr:nvSpPr>
        <xdr:cNvPr id="19" name="TextBox 18">
          <a:extLst>
            <a:ext uri="{FF2B5EF4-FFF2-40B4-BE49-F238E27FC236}">
              <a16:creationId xmlns:a16="http://schemas.microsoft.com/office/drawing/2014/main" id="{14398BD6-D387-4B76-A96A-21EFD9645C34}"/>
            </a:ext>
          </a:extLst>
        </xdr:cNvPr>
        <xdr:cNvSpPr txBox="1"/>
      </xdr:nvSpPr>
      <xdr:spPr>
        <a:xfrm>
          <a:off x="14147800" y="3143569"/>
          <a:ext cx="1116013"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E1FE0-426B-4395-AAC1-35A9723FF864}" type="TxLink">
            <a:rPr lang="en-US" sz="2000" b="0" i="0" u="none" strike="noStrike">
              <a:solidFill>
                <a:schemeClr val="bg1"/>
              </a:solidFill>
              <a:latin typeface="Aptos Narrow"/>
            </a:rPr>
            <a:pPr algn="ctr"/>
            <a:t>$3,980</a:t>
          </a:fld>
          <a:endParaRPr lang="en-US" sz="3600" b="1" i="1">
            <a:solidFill>
              <a:schemeClr val="bg1"/>
            </a:solidFill>
          </a:endParaRPr>
        </a:p>
      </xdr:txBody>
    </xdr:sp>
    <xdr:clientData/>
  </xdr:twoCellAnchor>
  <xdr:twoCellAnchor editAs="oneCell">
    <xdr:from>
      <xdr:col>5</xdr:col>
      <xdr:colOff>235792</xdr:colOff>
      <xdr:row>30</xdr:row>
      <xdr:rowOff>157349</xdr:rowOff>
    </xdr:from>
    <xdr:to>
      <xdr:col>6</xdr:col>
      <xdr:colOff>80404</xdr:colOff>
      <xdr:row>33</xdr:row>
      <xdr:rowOff>62660</xdr:rowOff>
    </xdr:to>
    <xdr:pic>
      <xdr:nvPicPr>
        <xdr:cNvPr id="20" name="Graphic 19" descr="Bullseye with solid fill">
          <a:extLst>
            <a:ext uri="{FF2B5EF4-FFF2-40B4-BE49-F238E27FC236}">
              <a16:creationId xmlns:a16="http://schemas.microsoft.com/office/drawing/2014/main" id="{6BEE42E2-FD77-41C5-9F03-5FE095F273C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83792" y="5681849"/>
          <a:ext cx="454212" cy="457761"/>
        </a:xfrm>
        <a:prstGeom prst="rect">
          <a:avLst/>
        </a:prstGeom>
      </xdr:spPr>
    </xdr:pic>
    <xdr:clientData/>
  </xdr:twoCellAnchor>
  <xdr:twoCellAnchor editAs="oneCell">
    <xdr:from>
      <xdr:col>5</xdr:col>
      <xdr:colOff>249451</xdr:colOff>
      <xdr:row>24</xdr:row>
      <xdr:rowOff>44944</xdr:rowOff>
    </xdr:from>
    <xdr:to>
      <xdr:col>6</xdr:col>
      <xdr:colOff>94063</xdr:colOff>
      <xdr:row>26</xdr:row>
      <xdr:rowOff>141222</xdr:rowOff>
    </xdr:to>
    <xdr:pic>
      <xdr:nvPicPr>
        <xdr:cNvPr id="21" name="Graphic 20" descr="Open hand with plant with solid fill">
          <a:hlinkClick xmlns:r="http://schemas.openxmlformats.org/officeDocument/2006/relationships" r:id="rId8"/>
          <a:extLst>
            <a:ext uri="{FF2B5EF4-FFF2-40B4-BE49-F238E27FC236}">
              <a16:creationId xmlns:a16="http://schemas.microsoft.com/office/drawing/2014/main" id="{ED30BE52-99AA-4DF8-B4C0-8C8DFFF45AB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297451" y="4464544"/>
          <a:ext cx="454212" cy="464578"/>
        </a:xfrm>
        <a:prstGeom prst="rect">
          <a:avLst/>
        </a:prstGeom>
      </xdr:spPr>
    </xdr:pic>
    <xdr:clientData/>
  </xdr:twoCellAnchor>
  <xdr:twoCellAnchor editAs="oneCell">
    <xdr:from>
      <xdr:col>5</xdr:col>
      <xdr:colOff>194943</xdr:colOff>
      <xdr:row>19</xdr:row>
      <xdr:rowOff>119771</xdr:rowOff>
    </xdr:from>
    <xdr:to>
      <xdr:col>6</xdr:col>
      <xdr:colOff>188632</xdr:colOff>
      <xdr:row>23</xdr:row>
      <xdr:rowOff>1245</xdr:rowOff>
    </xdr:to>
    <xdr:pic>
      <xdr:nvPicPr>
        <xdr:cNvPr id="22" name="Graphic 21" descr="Bar graph with downward trend with solid fill">
          <a:hlinkClick xmlns:r="http://schemas.openxmlformats.org/officeDocument/2006/relationships" r:id="rId11"/>
          <a:extLst>
            <a:ext uri="{FF2B5EF4-FFF2-40B4-BE49-F238E27FC236}">
              <a16:creationId xmlns:a16="http://schemas.microsoft.com/office/drawing/2014/main" id="{1BA8009C-0346-4492-82D6-33EFDCAFE8F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242943" y="3618621"/>
          <a:ext cx="603289" cy="618074"/>
        </a:xfrm>
        <a:prstGeom prst="rect">
          <a:avLst/>
        </a:prstGeom>
      </xdr:spPr>
    </xdr:pic>
    <xdr:clientData/>
  </xdr:twoCellAnchor>
  <xdr:twoCellAnchor editAs="oneCell">
    <xdr:from>
      <xdr:col>5</xdr:col>
      <xdr:colOff>203937</xdr:colOff>
      <xdr:row>15</xdr:row>
      <xdr:rowOff>148375</xdr:rowOff>
    </xdr:from>
    <xdr:to>
      <xdr:col>6</xdr:col>
      <xdr:colOff>158750</xdr:colOff>
      <xdr:row>18</xdr:row>
      <xdr:rowOff>166688</xdr:rowOff>
    </xdr:to>
    <xdr:pic>
      <xdr:nvPicPr>
        <xdr:cNvPr id="23" name="Graphic 22" descr="Bar graph with upward trend with solid fill">
          <a:hlinkClick xmlns:r="http://schemas.openxmlformats.org/officeDocument/2006/relationships" r:id="rId14"/>
          <a:extLst>
            <a:ext uri="{FF2B5EF4-FFF2-40B4-BE49-F238E27FC236}">
              <a16:creationId xmlns:a16="http://schemas.microsoft.com/office/drawing/2014/main" id="{1E187AD4-2E3E-46AF-81B7-17865A1D235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251937" y="2910625"/>
          <a:ext cx="564413" cy="570763"/>
        </a:xfrm>
        <a:prstGeom prst="rect">
          <a:avLst/>
        </a:prstGeom>
      </xdr:spPr>
    </xdr:pic>
    <xdr:clientData/>
  </xdr:twoCellAnchor>
  <xdr:twoCellAnchor editAs="oneCell">
    <xdr:from>
      <xdr:col>5</xdr:col>
      <xdr:colOff>206375</xdr:colOff>
      <xdr:row>11</xdr:row>
      <xdr:rowOff>174624</xdr:rowOff>
    </xdr:from>
    <xdr:to>
      <xdr:col>6</xdr:col>
      <xdr:colOff>166687</xdr:colOff>
      <xdr:row>14</xdr:row>
      <xdr:rowOff>128512</xdr:rowOff>
    </xdr:to>
    <xdr:pic>
      <xdr:nvPicPr>
        <xdr:cNvPr id="24" name="Graphic 23" descr="Treasure chest outline">
          <a:hlinkClick xmlns:r="http://schemas.openxmlformats.org/officeDocument/2006/relationships" r:id="rId17"/>
          <a:extLst>
            <a:ext uri="{FF2B5EF4-FFF2-40B4-BE49-F238E27FC236}">
              <a16:creationId xmlns:a16="http://schemas.microsoft.com/office/drawing/2014/main" id="{66AA1CCA-ADC3-4FA0-84A1-E1F99EE71C4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254375" y="2200274"/>
          <a:ext cx="569912" cy="506338"/>
        </a:xfrm>
        <a:prstGeom prst="rect">
          <a:avLst/>
        </a:prstGeom>
      </xdr:spPr>
    </xdr:pic>
    <xdr:clientData/>
  </xdr:twoCellAnchor>
  <xdr:twoCellAnchor>
    <xdr:from>
      <xdr:col>22</xdr:col>
      <xdr:colOff>130969</xdr:colOff>
      <xdr:row>23</xdr:row>
      <xdr:rowOff>129877</xdr:rowOff>
    </xdr:from>
    <xdr:to>
      <xdr:col>23</xdr:col>
      <xdr:colOff>551656</xdr:colOff>
      <xdr:row>26</xdr:row>
      <xdr:rowOff>42562</xdr:rowOff>
    </xdr:to>
    <xdr:sp macro="" textlink="">
      <xdr:nvSpPr>
        <xdr:cNvPr id="25" name="TextBox 24">
          <a:extLst>
            <a:ext uri="{FF2B5EF4-FFF2-40B4-BE49-F238E27FC236}">
              <a16:creationId xmlns:a16="http://schemas.microsoft.com/office/drawing/2014/main" id="{462CBB26-D373-462F-ACFB-AEDA3F348D5A}"/>
            </a:ext>
          </a:extLst>
        </xdr:cNvPr>
        <xdr:cNvSpPr txBox="1"/>
      </xdr:nvSpPr>
      <xdr:spPr>
        <a:xfrm>
          <a:off x="13542169" y="4365327"/>
          <a:ext cx="1030287" cy="46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372A4"/>
              </a:solidFill>
              <a:latin typeface="+mn-lt"/>
              <a:ea typeface="+mn-ea"/>
              <a:cs typeface="+mn-cs"/>
            </a:rPr>
            <a:t>In</a:t>
          </a:r>
          <a:r>
            <a:rPr lang="en-US" sz="1400">
              <a:solidFill>
                <a:srgbClr val="6372A4"/>
              </a:solidFill>
            </a:rPr>
            <a:t>come</a:t>
          </a:r>
          <a:endParaRPr lang="en-US" sz="1100">
            <a:solidFill>
              <a:srgbClr val="6372A4"/>
            </a:solidFill>
          </a:endParaRPr>
        </a:p>
      </xdr:txBody>
    </xdr:sp>
    <xdr:clientData/>
  </xdr:twoCellAnchor>
  <xdr:twoCellAnchor>
    <xdr:from>
      <xdr:col>22</xdr:col>
      <xdr:colOff>273844</xdr:colOff>
      <xdr:row>26</xdr:row>
      <xdr:rowOff>105537</xdr:rowOff>
    </xdr:from>
    <xdr:to>
      <xdr:col>24</xdr:col>
      <xdr:colOff>51594</xdr:colOff>
      <xdr:row>28</xdr:row>
      <xdr:rowOff>129350</xdr:rowOff>
    </xdr:to>
    <xdr:sp macro="" textlink="">
      <xdr:nvSpPr>
        <xdr:cNvPr id="26" name="TextBox 25">
          <a:extLst>
            <a:ext uri="{FF2B5EF4-FFF2-40B4-BE49-F238E27FC236}">
              <a16:creationId xmlns:a16="http://schemas.microsoft.com/office/drawing/2014/main" id="{7A33B5A8-FC9A-4242-83C8-BFC411CBD931}"/>
            </a:ext>
          </a:extLst>
        </xdr:cNvPr>
        <xdr:cNvSpPr txBox="1"/>
      </xdr:nvSpPr>
      <xdr:spPr>
        <a:xfrm>
          <a:off x="13685044" y="4893437"/>
          <a:ext cx="996950" cy="392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Expensev</a:t>
          </a:r>
        </a:p>
      </xdr:txBody>
    </xdr:sp>
    <xdr:clientData/>
  </xdr:twoCellAnchor>
  <xdr:twoCellAnchor>
    <xdr:from>
      <xdr:col>22</xdr:col>
      <xdr:colOff>301624</xdr:colOff>
      <xdr:row>31</xdr:row>
      <xdr:rowOff>8462</xdr:rowOff>
    </xdr:from>
    <xdr:to>
      <xdr:col>24</xdr:col>
      <xdr:colOff>55562</xdr:colOff>
      <xdr:row>32</xdr:row>
      <xdr:rowOff>95775</xdr:rowOff>
    </xdr:to>
    <xdr:sp macro="" textlink="">
      <xdr:nvSpPr>
        <xdr:cNvPr id="27" name="TextBox 26">
          <a:extLst>
            <a:ext uri="{FF2B5EF4-FFF2-40B4-BE49-F238E27FC236}">
              <a16:creationId xmlns:a16="http://schemas.microsoft.com/office/drawing/2014/main" id="{25B26B3F-6B32-4336-8733-AEEE2BFB371B}"/>
            </a:ext>
          </a:extLst>
        </xdr:cNvPr>
        <xdr:cNvSpPr txBox="1"/>
      </xdr:nvSpPr>
      <xdr:spPr>
        <a:xfrm>
          <a:off x="13712824" y="5717112"/>
          <a:ext cx="973138"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Debts</a:t>
          </a:r>
          <a:endParaRPr lang="en-US" sz="1100">
            <a:solidFill>
              <a:srgbClr val="6372A4"/>
            </a:solidFill>
          </a:endParaRPr>
        </a:p>
        <a:p>
          <a:endParaRPr lang="en-US" sz="1100"/>
        </a:p>
      </xdr:txBody>
    </xdr:sp>
    <xdr:clientData/>
  </xdr:twoCellAnchor>
  <xdr:twoCellAnchor>
    <xdr:from>
      <xdr:col>22</xdr:col>
      <xdr:colOff>297656</xdr:colOff>
      <xdr:row>33</xdr:row>
      <xdr:rowOff>55563</xdr:rowOff>
    </xdr:from>
    <xdr:to>
      <xdr:col>23</xdr:col>
      <xdr:colOff>607218</xdr:colOff>
      <xdr:row>36</xdr:row>
      <xdr:rowOff>95251</xdr:rowOff>
    </xdr:to>
    <xdr:sp macro="" textlink="">
      <xdr:nvSpPr>
        <xdr:cNvPr id="28" name="TextBox 27">
          <a:extLst>
            <a:ext uri="{FF2B5EF4-FFF2-40B4-BE49-F238E27FC236}">
              <a16:creationId xmlns:a16="http://schemas.microsoft.com/office/drawing/2014/main" id="{7C0250C0-43C2-4F4B-B582-D8F5BF14D293}"/>
            </a:ext>
          </a:extLst>
        </xdr:cNvPr>
        <xdr:cNvSpPr txBox="1"/>
      </xdr:nvSpPr>
      <xdr:spPr>
        <a:xfrm>
          <a:off x="13708856" y="6132513"/>
          <a:ext cx="919162" cy="59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Fin Goals</a:t>
          </a:r>
        </a:p>
      </xdr:txBody>
    </xdr:sp>
    <xdr:clientData/>
  </xdr:twoCellAnchor>
  <xdr:twoCellAnchor>
    <xdr:from>
      <xdr:col>22</xdr:col>
      <xdr:colOff>281082</xdr:colOff>
      <xdr:row>29</xdr:row>
      <xdr:rowOff>9762</xdr:rowOff>
    </xdr:from>
    <xdr:to>
      <xdr:col>24</xdr:col>
      <xdr:colOff>28482</xdr:colOff>
      <xdr:row>31</xdr:row>
      <xdr:rowOff>24862</xdr:rowOff>
    </xdr:to>
    <xdr:sp macro="" textlink="">
      <xdr:nvSpPr>
        <xdr:cNvPr id="29" name="TextBox 28">
          <a:extLst>
            <a:ext uri="{FF2B5EF4-FFF2-40B4-BE49-F238E27FC236}">
              <a16:creationId xmlns:a16="http://schemas.microsoft.com/office/drawing/2014/main" id="{6A9DD0C3-67B1-432C-9B63-E654CDEE1AD3}"/>
            </a:ext>
          </a:extLst>
        </xdr:cNvPr>
        <xdr:cNvSpPr txBox="1"/>
      </xdr:nvSpPr>
      <xdr:spPr>
        <a:xfrm>
          <a:off x="13692282" y="5350112"/>
          <a:ext cx="966600" cy="38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6372A4"/>
              </a:solidFill>
            </a:rPr>
            <a:t>Investmants</a:t>
          </a:r>
        </a:p>
      </xdr:txBody>
    </xdr:sp>
    <xdr:clientData/>
  </xdr:twoCellAnchor>
  <xdr:twoCellAnchor>
    <xdr:from>
      <xdr:col>5</xdr:col>
      <xdr:colOff>164353</xdr:colOff>
      <xdr:row>27</xdr:row>
      <xdr:rowOff>119530</xdr:rowOff>
    </xdr:from>
    <xdr:to>
      <xdr:col>6</xdr:col>
      <xdr:colOff>231588</xdr:colOff>
      <xdr:row>28</xdr:row>
      <xdr:rowOff>156882</xdr:rowOff>
    </xdr:to>
    <xdr:sp macro="" textlink="">
      <xdr:nvSpPr>
        <xdr:cNvPr id="30" name="TextBox 29">
          <a:hlinkClick xmlns:r="http://schemas.openxmlformats.org/officeDocument/2006/relationships" r:id="rId20"/>
          <a:extLst>
            <a:ext uri="{FF2B5EF4-FFF2-40B4-BE49-F238E27FC236}">
              <a16:creationId xmlns:a16="http://schemas.microsoft.com/office/drawing/2014/main" id="{445CFFFC-C619-4FB3-BBBF-1508E4C9918D}"/>
            </a:ext>
          </a:extLst>
        </xdr:cNvPr>
        <xdr:cNvSpPr txBox="1"/>
      </xdr:nvSpPr>
      <xdr:spPr>
        <a:xfrm>
          <a:off x="3212353" y="5091580"/>
          <a:ext cx="676835" cy="22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rgbClr val="6372A4"/>
              </a:solidFill>
            </a:rPr>
            <a:t>%</a:t>
          </a:r>
        </a:p>
      </xdr:txBody>
    </xdr:sp>
    <xdr:clientData/>
  </xdr:twoCellAnchor>
  <xdr:twoCellAnchor>
    <xdr:from>
      <xdr:col>22</xdr:col>
      <xdr:colOff>6049</xdr:colOff>
      <xdr:row>9</xdr:row>
      <xdr:rowOff>91164</xdr:rowOff>
    </xdr:from>
    <xdr:to>
      <xdr:col>25</xdr:col>
      <xdr:colOff>102932</xdr:colOff>
      <xdr:row>16</xdr:row>
      <xdr:rowOff>9884</xdr:rowOff>
    </xdr:to>
    <xdr:sp macro="" textlink="">
      <xdr:nvSpPr>
        <xdr:cNvPr id="31" name="Rectangle: Rounded Corners 30">
          <a:extLst>
            <a:ext uri="{FF2B5EF4-FFF2-40B4-BE49-F238E27FC236}">
              <a16:creationId xmlns:a16="http://schemas.microsoft.com/office/drawing/2014/main" id="{4A750B49-C16B-4899-AC0F-D8A6AE9522D1}"/>
            </a:ext>
          </a:extLst>
        </xdr:cNvPr>
        <xdr:cNvSpPr/>
      </xdr:nvSpPr>
      <xdr:spPr>
        <a:xfrm>
          <a:off x="13417249" y="1748514"/>
          <a:ext cx="1925683" cy="1207770"/>
        </a:xfrm>
        <a:prstGeom prst="roundRect">
          <a:avLst>
            <a:gd name="adj" fmla="val 9799"/>
          </a:avLst>
        </a:prstGeom>
        <a:gradFill>
          <a:gsLst>
            <a:gs pos="0">
              <a:srgbClr val="22248D"/>
            </a:gs>
            <a:gs pos="67000">
              <a:srgbClr val="060839"/>
            </a:gs>
          </a:gsLst>
          <a:lin ang="8100000" scaled="0"/>
        </a:gradFill>
        <a:ln w="9525">
          <a:gradFill>
            <a:gsLst>
              <a:gs pos="25000">
                <a:srgbClr val="7079FF"/>
              </a:gs>
              <a:gs pos="100000">
                <a:srgbClr val="A2D8F0"/>
              </a:gs>
            </a:gsLst>
            <a:lin ang="8100000" scaled="0"/>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22</xdr:col>
      <xdr:colOff>127000</xdr:colOff>
      <xdr:row>11</xdr:row>
      <xdr:rowOff>99787</xdr:rowOff>
    </xdr:from>
    <xdr:to>
      <xdr:col>22</xdr:col>
      <xdr:colOff>471713</xdr:colOff>
      <xdr:row>13</xdr:row>
      <xdr:rowOff>45358</xdr:rowOff>
    </xdr:to>
    <xdr:sp macro="" textlink="">
      <xdr:nvSpPr>
        <xdr:cNvPr id="32" name="Rectangle: Rounded Corners 31">
          <a:extLst>
            <a:ext uri="{FF2B5EF4-FFF2-40B4-BE49-F238E27FC236}">
              <a16:creationId xmlns:a16="http://schemas.microsoft.com/office/drawing/2014/main" id="{E684A3DF-B4AA-4EA6-BF0B-EC2DB8C26350}"/>
            </a:ext>
          </a:extLst>
        </xdr:cNvPr>
        <xdr:cNvSpPr/>
      </xdr:nvSpPr>
      <xdr:spPr>
        <a:xfrm>
          <a:off x="13538200" y="2125437"/>
          <a:ext cx="344713" cy="313871"/>
        </a:xfrm>
        <a:prstGeom prst="roundRect">
          <a:avLst>
            <a:gd name="adj" fmla="val 26930"/>
          </a:avLst>
        </a:prstGeom>
        <a:solidFill>
          <a:srgbClr val="FFE07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388937</xdr:colOff>
      <xdr:row>10</xdr:row>
      <xdr:rowOff>14460</xdr:rowOff>
    </xdr:from>
    <xdr:to>
      <xdr:col>25</xdr:col>
      <xdr:colOff>35151</xdr:colOff>
      <xdr:row>11</xdr:row>
      <xdr:rowOff>172358</xdr:rowOff>
    </xdr:to>
    <xdr:grpSp>
      <xdr:nvGrpSpPr>
        <xdr:cNvPr id="33" name="Group 32">
          <a:extLst>
            <a:ext uri="{FF2B5EF4-FFF2-40B4-BE49-F238E27FC236}">
              <a16:creationId xmlns:a16="http://schemas.microsoft.com/office/drawing/2014/main" id="{18EE2C21-4427-448E-B5E1-AF3546C401E9}"/>
            </a:ext>
          </a:extLst>
        </xdr:cNvPr>
        <xdr:cNvGrpSpPr/>
      </xdr:nvGrpSpPr>
      <xdr:grpSpPr>
        <a:xfrm>
          <a:off x="14816137" y="1877127"/>
          <a:ext cx="247347" cy="344164"/>
          <a:chOff x="14904357" y="1837817"/>
          <a:chExt cx="312112" cy="354329"/>
        </a:xfrm>
      </xdr:grpSpPr>
      <xdr:sp macro="" textlink="">
        <xdr:nvSpPr>
          <xdr:cNvPr id="34" name="Freeform: Shape 33">
            <a:extLst>
              <a:ext uri="{FF2B5EF4-FFF2-40B4-BE49-F238E27FC236}">
                <a16:creationId xmlns:a16="http://schemas.microsoft.com/office/drawing/2014/main" id="{8EB370E3-5A20-E4E7-6273-3907CCC4E652}"/>
              </a:ext>
            </a:extLst>
          </xdr:cNvPr>
          <xdr:cNvSpPr/>
        </xdr:nvSpPr>
        <xdr:spPr>
          <a:xfrm>
            <a:off x="15121164" y="1837817"/>
            <a:ext cx="95305" cy="354329"/>
          </a:xfrm>
          <a:custGeom>
            <a:avLst/>
            <a:gdLst>
              <a:gd name="csX0" fmla="*/ 56102 w 95305"/>
              <a:gd name="csY0" fmla="*/ 191453 h 354329"/>
              <a:gd name="csX1" fmla="*/ 0 w 95305"/>
              <a:gd name="csY1" fmla="*/ 325755 h 354329"/>
              <a:gd name="csX2" fmla="*/ 24956 w 95305"/>
              <a:gd name="csY2" fmla="*/ 354330 h 354329"/>
              <a:gd name="csX3" fmla="*/ 30861 w 95305"/>
              <a:gd name="csY3" fmla="*/ 0 h 354329"/>
              <a:gd name="csX4" fmla="*/ 2286 w 95305"/>
              <a:gd name="csY4" fmla="*/ 24575 h 354329"/>
              <a:gd name="csX5" fmla="*/ 56102 w 95305"/>
              <a:gd name="csY5" fmla="*/ 191453 h 354329"/>
            </a:gdLst>
            <a:ahLst/>
            <a:cxnLst>
              <a:cxn ang="0">
                <a:pos x="csX0" y="csY0"/>
              </a:cxn>
              <a:cxn ang="0">
                <a:pos x="csX1" y="csY1"/>
              </a:cxn>
              <a:cxn ang="0">
                <a:pos x="csX2" y="csY2"/>
              </a:cxn>
              <a:cxn ang="0">
                <a:pos x="csX3" y="csY3"/>
              </a:cxn>
              <a:cxn ang="0">
                <a:pos x="csX4" y="csY4"/>
              </a:cxn>
              <a:cxn ang="0">
                <a:pos x="csX5" y="csY5"/>
              </a:cxn>
            </a:cxnLst>
            <a:rect l="l" t="t" r="r" b="b"/>
            <a:pathLst>
              <a:path w="95305" h="354329">
                <a:moveTo>
                  <a:pt x="56102" y="191453"/>
                </a:moveTo>
                <a:cubicBezTo>
                  <a:pt x="52582" y="241148"/>
                  <a:pt x="32876" y="288322"/>
                  <a:pt x="0" y="325755"/>
                </a:cubicBezTo>
                <a:lnTo>
                  <a:pt x="24956" y="354330"/>
                </a:lnTo>
                <a:cubicBezTo>
                  <a:pt x="116453" y="254791"/>
                  <a:pt x="118990" y="102533"/>
                  <a:pt x="30861" y="0"/>
                </a:cubicBezTo>
                <a:lnTo>
                  <a:pt x="2286" y="24575"/>
                </a:lnTo>
                <a:cubicBezTo>
                  <a:pt x="41693" y="70836"/>
                  <a:pt x="61058" y="130885"/>
                  <a:pt x="56102" y="191453"/>
                </a:cubicBezTo>
                <a:close/>
              </a:path>
            </a:pathLst>
          </a:custGeom>
          <a:solidFill>
            <a:schemeClr val="bg1"/>
          </a:solidFill>
          <a:ln w="9525" cap="flat">
            <a:noFill/>
            <a:prstDash val="solid"/>
            <a:miter/>
          </a:ln>
        </xdr:spPr>
      </xdr:sp>
      <xdr:sp macro="" textlink="">
        <xdr:nvSpPr>
          <xdr:cNvPr id="35" name="Freeform: Shape 34">
            <a:extLst>
              <a:ext uri="{FF2B5EF4-FFF2-40B4-BE49-F238E27FC236}">
                <a16:creationId xmlns:a16="http://schemas.microsoft.com/office/drawing/2014/main" id="{45AA906B-8E19-D07A-D842-C6048A98C827}"/>
              </a:ext>
            </a:extLst>
          </xdr:cNvPr>
          <xdr:cNvSpPr/>
        </xdr:nvSpPr>
        <xdr:spPr>
          <a:xfrm>
            <a:off x="15064776" y="1888299"/>
            <a:ext cx="75014" cy="245649"/>
          </a:xfrm>
          <a:custGeom>
            <a:avLst/>
            <a:gdLst>
              <a:gd name="csX0" fmla="*/ 36481 w 75014"/>
              <a:gd name="csY0" fmla="*/ 135255 h 245649"/>
              <a:gd name="csX1" fmla="*/ 5334 w 75014"/>
              <a:gd name="csY1" fmla="*/ 216408 h 245649"/>
              <a:gd name="csX2" fmla="*/ 30480 w 75014"/>
              <a:gd name="csY2" fmla="*/ 245650 h 245649"/>
              <a:gd name="csX3" fmla="*/ 28575 w 75014"/>
              <a:gd name="csY3" fmla="*/ 0 h 245649"/>
              <a:gd name="csX4" fmla="*/ 0 w 75014"/>
              <a:gd name="csY4" fmla="*/ 24575 h 245649"/>
              <a:gd name="csX5" fmla="*/ 36481 w 75014"/>
              <a:gd name="csY5" fmla="*/ 135255 h 245649"/>
            </a:gdLst>
            <a:ahLst/>
            <a:cxnLst>
              <a:cxn ang="0">
                <a:pos x="csX0" y="csY0"/>
              </a:cxn>
              <a:cxn ang="0">
                <a:pos x="csX1" y="csY1"/>
              </a:cxn>
              <a:cxn ang="0">
                <a:pos x="csX2" y="csY2"/>
              </a:cxn>
              <a:cxn ang="0">
                <a:pos x="csX3" y="csY3"/>
              </a:cxn>
              <a:cxn ang="0">
                <a:pos x="csX4" y="csY4"/>
              </a:cxn>
              <a:cxn ang="0">
                <a:pos x="csX5" y="csY5"/>
              </a:cxn>
            </a:cxnLst>
            <a:rect l="l" t="t" r="r" b="b"/>
            <a:pathLst>
              <a:path w="75014" h="245649">
                <a:moveTo>
                  <a:pt x="36481" y="135255"/>
                </a:moveTo>
                <a:cubicBezTo>
                  <a:pt x="34274" y="164773"/>
                  <a:pt x="23443" y="192993"/>
                  <a:pt x="5334" y="216408"/>
                </a:cubicBezTo>
                <a:lnTo>
                  <a:pt x="30480" y="245650"/>
                </a:lnTo>
                <a:cubicBezTo>
                  <a:pt x="90573" y="174524"/>
                  <a:pt x="89765" y="70186"/>
                  <a:pt x="28575" y="0"/>
                </a:cubicBezTo>
                <a:lnTo>
                  <a:pt x="0" y="24575"/>
                </a:lnTo>
                <a:cubicBezTo>
                  <a:pt x="26418" y="55135"/>
                  <a:pt x="39549" y="94975"/>
                  <a:pt x="36481" y="135255"/>
                </a:cubicBezTo>
                <a:close/>
              </a:path>
            </a:pathLst>
          </a:custGeom>
          <a:solidFill>
            <a:schemeClr val="bg1"/>
          </a:solidFill>
          <a:ln w="9525" cap="flat">
            <a:noFill/>
            <a:prstDash val="solid"/>
            <a:miter/>
          </a:ln>
        </xdr:spPr>
      </xdr:sp>
      <xdr:sp macro="" textlink="">
        <xdr:nvSpPr>
          <xdr:cNvPr id="36" name="Oval 35">
            <a:extLst>
              <a:ext uri="{FF2B5EF4-FFF2-40B4-BE49-F238E27FC236}">
                <a16:creationId xmlns:a16="http://schemas.microsoft.com/office/drawing/2014/main" id="{B5F7B743-E02B-9105-9D90-7E1E8DF99496}"/>
              </a:ext>
            </a:extLst>
          </xdr:cNvPr>
          <xdr:cNvSpPr/>
        </xdr:nvSpPr>
        <xdr:spPr>
          <a:xfrm>
            <a:off x="14904357" y="1932215"/>
            <a:ext cx="118872" cy="118872"/>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22</xdr:col>
      <xdr:colOff>163286</xdr:colOff>
      <xdr:row>14</xdr:row>
      <xdr:rowOff>27214</xdr:rowOff>
    </xdr:from>
    <xdr:to>
      <xdr:col>24</xdr:col>
      <xdr:colOff>535215</xdr:colOff>
      <xdr:row>15</xdr:row>
      <xdr:rowOff>54428</xdr:rowOff>
    </xdr:to>
    <xdr:sp macro="" textlink="">
      <xdr:nvSpPr>
        <xdr:cNvPr id="37" name="TextBox 36">
          <a:extLst>
            <a:ext uri="{FF2B5EF4-FFF2-40B4-BE49-F238E27FC236}">
              <a16:creationId xmlns:a16="http://schemas.microsoft.com/office/drawing/2014/main" id="{132AB0F2-F13E-462E-BDBC-B65A6F3FCC87}"/>
            </a:ext>
          </a:extLst>
        </xdr:cNvPr>
        <xdr:cNvSpPr txBox="1"/>
      </xdr:nvSpPr>
      <xdr:spPr>
        <a:xfrm>
          <a:off x="13574486" y="2605314"/>
          <a:ext cx="1591129" cy="21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r>
            <a:rPr lang="en-US" sz="1100" baseline="0">
              <a:solidFill>
                <a:schemeClr val="bg1"/>
              </a:solidFill>
            </a:rPr>
            <a:t> ***** **** *****</a:t>
          </a:r>
          <a:endParaRPr lang="en-US" sz="1100">
            <a:solidFill>
              <a:schemeClr val="bg1"/>
            </a:solidFill>
          </a:endParaRPr>
        </a:p>
      </xdr:txBody>
    </xdr:sp>
    <xdr:clientData/>
  </xdr:twoCellAnchor>
  <xdr:twoCellAnchor editAs="oneCell">
    <xdr:from>
      <xdr:col>23</xdr:col>
      <xdr:colOff>453571</xdr:colOff>
      <xdr:row>10</xdr:row>
      <xdr:rowOff>36286</xdr:rowOff>
    </xdr:from>
    <xdr:to>
      <xdr:col>24</xdr:col>
      <xdr:colOff>211545</xdr:colOff>
      <xdr:row>12</xdr:row>
      <xdr:rowOff>39189</xdr:rowOff>
    </xdr:to>
    <xdr:pic>
      <xdr:nvPicPr>
        <xdr:cNvPr id="38" name="Graphic 37" descr="Moon with solid fill">
          <a:extLst>
            <a:ext uri="{FF2B5EF4-FFF2-40B4-BE49-F238E27FC236}">
              <a16:creationId xmlns:a16="http://schemas.microsoft.com/office/drawing/2014/main" id="{948C6D79-4DB2-4317-86BA-DDFA9489653A}"/>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4474371" y="1877786"/>
          <a:ext cx="367574" cy="371203"/>
        </a:xfrm>
        <a:prstGeom prst="rect">
          <a:avLst/>
        </a:prstGeom>
      </xdr:spPr>
    </xdr:pic>
    <xdr:clientData/>
  </xdr:twoCellAnchor>
  <xdr:twoCellAnchor editAs="oneCell">
    <xdr:from>
      <xdr:col>22</xdr:col>
      <xdr:colOff>535214</xdr:colOff>
      <xdr:row>10</xdr:row>
      <xdr:rowOff>36286</xdr:rowOff>
    </xdr:from>
    <xdr:to>
      <xdr:col>23</xdr:col>
      <xdr:colOff>303686</xdr:colOff>
      <xdr:row>12</xdr:row>
      <xdr:rowOff>51274</xdr:rowOff>
    </xdr:to>
    <xdr:pic macro="[0]!Picture79_Click">
      <xdr:nvPicPr>
        <xdr:cNvPr id="39" name="Picture 79" descr="Sun with solid fill">
          <a:extLst>
            <a:ext uri="{FF2B5EF4-FFF2-40B4-BE49-F238E27FC236}">
              <a16:creationId xmlns:a16="http://schemas.microsoft.com/office/drawing/2014/main" id="{7D501A50-6A7E-4519-A53F-F790BDAC7000}"/>
            </a:ext>
          </a:extLst>
        </xdr:cNvPr>
        <xdr:cNvPicPr>
          <a:picLocks noChangeAspect="1"/>
        </xdr:cNvPicPr>
      </xdr:nvPicPr>
      <xdr:blipFill>
        <a:blip xmlns:r="http://schemas.openxmlformats.org/officeDocument/2006/relationships" r:embed="rId23"/>
        <a:stretch>
          <a:fillRect/>
        </a:stretch>
      </xdr:blipFill>
      <xdr:spPr>
        <a:xfrm>
          <a:off x="13946414" y="1877786"/>
          <a:ext cx="378072" cy="383288"/>
        </a:xfrm>
        <a:prstGeom prst="rect">
          <a:avLst/>
        </a:prstGeom>
      </xdr:spPr>
    </xdr:pic>
    <xdr:clientData/>
  </xdr:twoCellAnchor>
  <xdr:twoCellAnchor>
    <xdr:from>
      <xdr:col>28</xdr:col>
      <xdr:colOff>591910</xdr:colOff>
      <xdr:row>18</xdr:row>
      <xdr:rowOff>22845</xdr:rowOff>
    </xdr:from>
    <xdr:to>
      <xdr:col>31</xdr:col>
      <xdr:colOff>24568</xdr:colOff>
      <xdr:row>19</xdr:row>
      <xdr:rowOff>140985</xdr:rowOff>
    </xdr:to>
    <xdr:sp macro="" textlink="">
      <xdr:nvSpPr>
        <xdr:cNvPr id="40" name="TextBox 39">
          <a:extLst>
            <a:ext uri="{FF2B5EF4-FFF2-40B4-BE49-F238E27FC236}">
              <a16:creationId xmlns:a16="http://schemas.microsoft.com/office/drawing/2014/main" id="{FAB90E50-B325-4C4B-8A85-417510480422}"/>
            </a:ext>
          </a:extLst>
        </xdr:cNvPr>
        <xdr:cNvSpPr txBox="1"/>
      </xdr:nvSpPr>
      <xdr:spPr>
        <a:xfrm>
          <a:off x="17660710" y="3337545"/>
          <a:ext cx="1261458" cy="302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rgbClr val="6372A4"/>
              </a:solidFill>
            </a:rPr>
            <a:t>Blanace</a:t>
          </a:r>
        </a:p>
      </xdr:txBody>
    </xdr:sp>
    <xdr:clientData/>
  </xdr:twoCellAnchor>
  <xdr:twoCellAnchor editAs="oneCell">
    <xdr:from>
      <xdr:col>7</xdr:col>
      <xdr:colOff>176390</xdr:colOff>
      <xdr:row>3</xdr:row>
      <xdr:rowOff>60854</xdr:rowOff>
    </xdr:from>
    <xdr:to>
      <xdr:col>25</xdr:col>
      <xdr:colOff>0</xdr:colOff>
      <xdr:row>5</xdr:row>
      <xdr:rowOff>92603</xdr:rowOff>
    </xdr:to>
    <mc:AlternateContent xmlns:mc="http://schemas.openxmlformats.org/markup-compatibility/2006" xmlns:a14="http://schemas.microsoft.com/office/drawing/2010/main">
      <mc:Choice Requires="a14">
        <xdr:graphicFrame macro="">
          <xdr:nvGraphicFramePr>
            <xdr:cNvPr id="41" name="Month 6">
              <a:extLst>
                <a:ext uri="{FF2B5EF4-FFF2-40B4-BE49-F238E27FC236}">
                  <a16:creationId xmlns:a16="http://schemas.microsoft.com/office/drawing/2014/main" id="{9D5EA25F-6A39-4871-932A-CD23A99817AB}"/>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4454703" y="608542"/>
              <a:ext cx="10824985" cy="396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484187</xdr:colOff>
      <xdr:row>17</xdr:row>
      <xdr:rowOff>5081</xdr:rowOff>
    </xdr:from>
    <xdr:to>
      <xdr:col>23</xdr:col>
      <xdr:colOff>381000</xdr:colOff>
      <xdr:row>19</xdr:row>
      <xdr:rowOff>0</xdr:rowOff>
    </xdr:to>
    <xdr:sp macro="" textlink="">
      <xdr:nvSpPr>
        <xdr:cNvPr id="43" name="TextBox 42">
          <a:extLst>
            <a:ext uri="{FF2B5EF4-FFF2-40B4-BE49-F238E27FC236}">
              <a16:creationId xmlns:a16="http://schemas.microsoft.com/office/drawing/2014/main" id="{5B81E7D4-DC8B-4AE6-8C7F-345A9D148A4C}"/>
            </a:ext>
          </a:extLst>
        </xdr:cNvPr>
        <xdr:cNvSpPr txBox="1"/>
      </xdr:nvSpPr>
      <xdr:spPr>
        <a:xfrm>
          <a:off x="13285787" y="3135631"/>
          <a:ext cx="1116013"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1">
              <a:solidFill>
                <a:srgbClr val="6372A4"/>
              </a:solidFill>
            </a:rPr>
            <a:t>Blanace:</a:t>
          </a:r>
        </a:p>
      </xdr:txBody>
    </xdr:sp>
    <xdr:clientData/>
  </xdr:twoCellAnchor>
  <xdr:twoCellAnchor>
    <xdr:from>
      <xdr:col>23</xdr:col>
      <xdr:colOff>486582</xdr:colOff>
      <xdr:row>26</xdr:row>
      <xdr:rowOff>95670</xdr:rowOff>
    </xdr:from>
    <xdr:to>
      <xdr:col>25</xdr:col>
      <xdr:colOff>29608</xdr:colOff>
      <xdr:row>28</xdr:row>
      <xdr:rowOff>90589</xdr:rowOff>
    </xdr:to>
    <xdr:sp macro="" textlink="Processing!E14">
      <xdr:nvSpPr>
        <xdr:cNvPr id="46" name="TextBox 45">
          <a:extLst>
            <a:ext uri="{FF2B5EF4-FFF2-40B4-BE49-F238E27FC236}">
              <a16:creationId xmlns:a16="http://schemas.microsoft.com/office/drawing/2014/main" id="{90D9AE01-EAE3-4CBF-BF04-7B670A94EE8A}"/>
            </a:ext>
          </a:extLst>
        </xdr:cNvPr>
        <xdr:cNvSpPr txBox="1"/>
      </xdr:nvSpPr>
      <xdr:spPr>
        <a:xfrm>
          <a:off x="14507382" y="4883570"/>
          <a:ext cx="762226"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FE3DA70-869E-43C1-9FD3-A5DC7BFFC055}" type="TxLink">
            <a:rPr lang="en-US" sz="1400" b="0" i="0" u="none" strike="noStrike">
              <a:solidFill>
                <a:schemeClr val="tx2">
                  <a:lumMod val="25000"/>
                  <a:lumOff val="75000"/>
                </a:schemeClr>
              </a:solidFill>
              <a:latin typeface="Aptos Narrow"/>
              <a:ea typeface="+mn-ea"/>
              <a:cs typeface="+mn-cs"/>
            </a:rPr>
            <a:pPr marL="0" indent="0" algn="r"/>
            <a:t>$18,904</a:t>
          </a:fld>
          <a:endParaRPr lang="en-US" sz="1600" b="1" i="1" u="none" strike="noStrike">
            <a:solidFill>
              <a:schemeClr val="tx2">
                <a:lumMod val="25000"/>
                <a:lumOff val="75000"/>
              </a:schemeClr>
            </a:solidFill>
            <a:latin typeface="Aptos Narrow"/>
            <a:ea typeface="+mn-ea"/>
            <a:cs typeface="+mn-cs"/>
          </a:endParaRPr>
        </a:p>
      </xdr:txBody>
    </xdr:sp>
    <xdr:clientData/>
  </xdr:twoCellAnchor>
  <xdr:twoCellAnchor>
    <xdr:from>
      <xdr:col>9</xdr:col>
      <xdr:colOff>519759</xdr:colOff>
      <xdr:row>7</xdr:row>
      <xdr:rowOff>104741</xdr:rowOff>
    </xdr:from>
    <xdr:to>
      <xdr:col>11</xdr:col>
      <xdr:colOff>51446</xdr:colOff>
      <xdr:row>9</xdr:row>
      <xdr:rowOff>99660</xdr:rowOff>
    </xdr:to>
    <xdr:sp macro="" textlink="Processing!E37">
      <xdr:nvSpPr>
        <xdr:cNvPr id="47" name="TextBox 46">
          <a:extLst>
            <a:ext uri="{FF2B5EF4-FFF2-40B4-BE49-F238E27FC236}">
              <a16:creationId xmlns:a16="http://schemas.microsoft.com/office/drawing/2014/main" id="{586C920C-2337-4F89-9AEF-FB6AC5FF5B0B}"/>
            </a:ext>
          </a:extLst>
        </xdr:cNvPr>
        <xdr:cNvSpPr txBox="1"/>
      </xdr:nvSpPr>
      <xdr:spPr>
        <a:xfrm>
          <a:off x="6006159" y="1393791"/>
          <a:ext cx="750887"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endParaRPr lang="en-US" sz="1600" b="1" i="1">
            <a:solidFill>
              <a:schemeClr val="tx2">
                <a:lumMod val="25000"/>
                <a:lumOff val="75000"/>
              </a:schemeClr>
            </a:solidFill>
          </a:endParaRPr>
        </a:p>
      </xdr:txBody>
    </xdr:sp>
    <xdr:clientData/>
  </xdr:twoCellAnchor>
  <xdr:twoCellAnchor>
    <xdr:from>
      <xdr:col>23</xdr:col>
      <xdr:colOff>538420</xdr:colOff>
      <xdr:row>30</xdr:row>
      <xdr:rowOff>177785</xdr:rowOff>
    </xdr:from>
    <xdr:to>
      <xdr:col>25</xdr:col>
      <xdr:colOff>305583</xdr:colOff>
      <xdr:row>32</xdr:row>
      <xdr:rowOff>172704</xdr:rowOff>
    </xdr:to>
    <xdr:sp macro="" textlink="Processing!O20">
      <xdr:nvSpPr>
        <xdr:cNvPr id="71" name="TextBox 70">
          <a:extLst>
            <a:ext uri="{FF2B5EF4-FFF2-40B4-BE49-F238E27FC236}">
              <a16:creationId xmlns:a16="http://schemas.microsoft.com/office/drawing/2014/main" id="{4B0B724F-9F87-40C3-97F8-4E809F1E1660}"/>
            </a:ext>
          </a:extLst>
        </xdr:cNvPr>
        <xdr:cNvSpPr txBox="1"/>
      </xdr:nvSpPr>
      <xdr:spPr>
        <a:xfrm>
          <a:off x="14559220" y="5702285"/>
          <a:ext cx="986363"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EC8FCC-96DD-489D-9D1F-BDA06E3B6D0B}" type="TxLink">
            <a:rPr lang="en-US" sz="1200" b="0" i="0" u="none" strike="noStrike">
              <a:solidFill>
                <a:schemeClr val="tx2">
                  <a:lumMod val="25000"/>
                  <a:lumOff val="75000"/>
                </a:schemeClr>
              </a:solidFill>
              <a:latin typeface="Aptos Narrow"/>
              <a:ea typeface="+mn-ea"/>
              <a:cs typeface="+mn-cs"/>
            </a:rPr>
            <a:pPr marL="0" indent="0" algn="l"/>
            <a:t> $95.42 </a:t>
          </a:fld>
          <a:endParaRPr lang="en-US" sz="1200" b="0" i="0" u="none" strike="noStrike">
            <a:solidFill>
              <a:schemeClr val="tx2">
                <a:lumMod val="25000"/>
                <a:lumOff val="75000"/>
              </a:schemeClr>
            </a:solidFill>
            <a:latin typeface="Aptos Narrow"/>
            <a:ea typeface="+mn-ea"/>
            <a:cs typeface="+mn-cs"/>
          </a:endParaRPr>
        </a:p>
      </xdr:txBody>
    </xdr:sp>
    <xdr:clientData/>
  </xdr:twoCellAnchor>
  <xdr:twoCellAnchor>
    <xdr:from>
      <xdr:col>6</xdr:col>
      <xdr:colOff>364241</xdr:colOff>
      <xdr:row>10</xdr:row>
      <xdr:rowOff>143757</xdr:rowOff>
    </xdr:from>
    <xdr:to>
      <xdr:col>13</xdr:col>
      <xdr:colOff>486833</xdr:colOff>
      <xdr:row>28</xdr:row>
      <xdr:rowOff>95249</xdr:rowOff>
    </xdr:to>
    <xdr:graphicFrame macro="">
      <xdr:nvGraphicFramePr>
        <xdr:cNvPr id="72" name="Chart 71">
          <a:extLst>
            <a:ext uri="{FF2B5EF4-FFF2-40B4-BE49-F238E27FC236}">
              <a16:creationId xmlns:a16="http://schemas.microsoft.com/office/drawing/2014/main" id="{FB86E0C7-DAD4-4026-9F83-636430A70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587381</xdr:colOff>
      <xdr:row>12</xdr:row>
      <xdr:rowOff>44767</xdr:rowOff>
    </xdr:from>
    <xdr:to>
      <xdr:col>10</xdr:col>
      <xdr:colOff>95253</xdr:colOff>
      <xdr:row>14</xdr:row>
      <xdr:rowOff>39686</xdr:rowOff>
    </xdr:to>
    <xdr:sp macro="" textlink="Processing!C34">
      <xdr:nvSpPr>
        <xdr:cNvPr id="73" name="TextBox 72">
          <a:extLst>
            <a:ext uri="{FF2B5EF4-FFF2-40B4-BE49-F238E27FC236}">
              <a16:creationId xmlns:a16="http://schemas.microsoft.com/office/drawing/2014/main" id="{F0CD91B7-95AD-4435-8357-B79351254B01}"/>
            </a:ext>
          </a:extLst>
        </xdr:cNvPr>
        <xdr:cNvSpPr txBox="1"/>
      </xdr:nvSpPr>
      <xdr:spPr>
        <a:xfrm>
          <a:off x="5498048" y="2203767"/>
          <a:ext cx="735538" cy="354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6103650-D3A6-4233-BE08-769502D43150}" type="TxLink">
            <a:rPr lang="en-US" sz="1600" b="1" i="1" u="none" strike="noStrike">
              <a:solidFill>
                <a:srgbClr val="FFFFFF"/>
              </a:solidFill>
              <a:latin typeface="Aptos Narrow"/>
              <a:ea typeface="+mn-ea"/>
              <a:cs typeface="+mn-cs"/>
            </a:rPr>
            <a:pPr marL="0" indent="0" algn="l"/>
            <a:t>Goal 2</a:t>
          </a:fld>
          <a:endParaRPr lang="en-US" sz="2000" b="1" i="1" u="none" strike="noStrike">
            <a:solidFill>
              <a:schemeClr val="tx2">
                <a:lumMod val="25000"/>
                <a:lumOff val="75000"/>
              </a:schemeClr>
            </a:solidFill>
            <a:latin typeface="Aptos Narrow"/>
            <a:ea typeface="+mn-ea"/>
            <a:cs typeface="+mn-cs"/>
          </a:endParaRPr>
        </a:p>
      </xdr:txBody>
    </xdr:sp>
    <xdr:clientData/>
  </xdr:twoCellAnchor>
  <xdr:twoCellAnchor>
    <xdr:from>
      <xdr:col>8</xdr:col>
      <xdr:colOff>579442</xdr:colOff>
      <xdr:row>11</xdr:row>
      <xdr:rowOff>15662</xdr:rowOff>
    </xdr:from>
    <xdr:to>
      <xdr:col>10</xdr:col>
      <xdr:colOff>87314</xdr:colOff>
      <xdr:row>13</xdr:row>
      <xdr:rowOff>10580</xdr:rowOff>
    </xdr:to>
    <xdr:sp macro="" textlink="Processing!B34">
      <xdr:nvSpPr>
        <xdr:cNvPr id="74" name="TextBox 73">
          <a:extLst>
            <a:ext uri="{FF2B5EF4-FFF2-40B4-BE49-F238E27FC236}">
              <a16:creationId xmlns:a16="http://schemas.microsoft.com/office/drawing/2014/main" id="{FF5BE0EF-064C-4508-AFAA-FF6505A9C8B2}"/>
            </a:ext>
          </a:extLst>
        </xdr:cNvPr>
        <xdr:cNvSpPr txBox="1"/>
      </xdr:nvSpPr>
      <xdr:spPr>
        <a:xfrm>
          <a:off x="5490109" y="1994745"/>
          <a:ext cx="735538" cy="354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899984-CC9A-4DFC-9EDA-459D4990FA59}" type="TxLink">
            <a:rPr lang="en-US" sz="1600" b="1" i="1" u="none" strike="noStrike">
              <a:solidFill>
                <a:srgbClr val="FFFFFF"/>
              </a:solidFill>
              <a:latin typeface="Aptos Narrow"/>
              <a:ea typeface="+mn-ea"/>
              <a:cs typeface="+mn-cs"/>
            </a:rPr>
            <a:pPr marL="0" indent="0" algn="l"/>
            <a:t>Goal 1</a:t>
          </a:fld>
          <a:endParaRPr lang="en-US" sz="2000" b="1" i="1" u="none" strike="noStrike">
            <a:solidFill>
              <a:schemeClr val="tx2">
                <a:lumMod val="25000"/>
                <a:lumOff val="75000"/>
              </a:schemeClr>
            </a:solidFill>
            <a:latin typeface="Aptos Narrow"/>
            <a:ea typeface="+mn-ea"/>
            <a:cs typeface="+mn-cs"/>
          </a:endParaRPr>
        </a:p>
      </xdr:txBody>
    </xdr:sp>
    <xdr:clientData/>
  </xdr:twoCellAnchor>
  <xdr:twoCellAnchor>
    <xdr:from>
      <xdr:col>8</xdr:col>
      <xdr:colOff>587381</xdr:colOff>
      <xdr:row>13</xdr:row>
      <xdr:rowOff>63286</xdr:rowOff>
    </xdr:from>
    <xdr:to>
      <xdr:col>10</xdr:col>
      <xdr:colOff>95253</xdr:colOff>
      <xdr:row>15</xdr:row>
      <xdr:rowOff>58206</xdr:rowOff>
    </xdr:to>
    <xdr:sp macro="" textlink="Processing!D34">
      <xdr:nvSpPr>
        <xdr:cNvPr id="75" name="TextBox 74">
          <a:extLst>
            <a:ext uri="{FF2B5EF4-FFF2-40B4-BE49-F238E27FC236}">
              <a16:creationId xmlns:a16="http://schemas.microsoft.com/office/drawing/2014/main" id="{389DA6ED-07D8-468F-9027-E1F7B3B0D63E}"/>
            </a:ext>
          </a:extLst>
        </xdr:cNvPr>
        <xdr:cNvSpPr txBox="1"/>
      </xdr:nvSpPr>
      <xdr:spPr>
        <a:xfrm>
          <a:off x="5498048" y="2402203"/>
          <a:ext cx="735538" cy="354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5ED8454-5558-468A-B75A-64C746785778}" type="TxLink">
            <a:rPr lang="en-US" sz="1600" b="1" i="1" u="none" strike="noStrike">
              <a:solidFill>
                <a:srgbClr val="FFFFFF"/>
              </a:solidFill>
              <a:latin typeface="Aptos Narrow"/>
              <a:ea typeface="+mn-ea"/>
              <a:cs typeface="+mn-cs"/>
            </a:rPr>
            <a:pPr marL="0" indent="0" algn="l"/>
            <a:t>Goal 3</a:t>
          </a:fld>
          <a:endParaRPr lang="en-US" sz="2000" b="1" i="1" u="none" strike="noStrike">
            <a:solidFill>
              <a:schemeClr val="tx2">
                <a:lumMod val="25000"/>
                <a:lumOff val="75000"/>
              </a:schemeClr>
            </a:solidFill>
            <a:latin typeface="Aptos Narrow"/>
            <a:ea typeface="+mn-ea"/>
            <a:cs typeface="+mn-cs"/>
          </a:endParaRPr>
        </a:p>
      </xdr:txBody>
    </xdr:sp>
    <xdr:clientData/>
  </xdr:twoCellAnchor>
  <xdr:twoCellAnchor>
    <xdr:from>
      <xdr:col>8</xdr:col>
      <xdr:colOff>597964</xdr:colOff>
      <xdr:row>14</xdr:row>
      <xdr:rowOff>71225</xdr:rowOff>
    </xdr:from>
    <xdr:to>
      <xdr:col>10</xdr:col>
      <xdr:colOff>105836</xdr:colOff>
      <xdr:row>16</xdr:row>
      <xdr:rowOff>66143</xdr:rowOff>
    </xdr:to>
    <xdr:sp macro="" textlink="Processing!E34">
      <xdr:nvSpPr>
        <xdr:cNvPr id="76" name="TextBox 75">
          <a:extLst>
            <a:ext uri="{FF2B5EF4-FFF2-40B4-BE49-F238E27FC236}">
              <a16:creationId xmlns:a16="http://schemas.microsoft.com/office/drawing/2014/main" id="{2C33907C-AA2F-4163-AA28-E3EEC2200802}"/>
            </a:ext>
          </a:extLst>
        </xdr:cNvPr>
        <xdr:cNvSpPr txBox="1"/>
      </xdr:nvSpPr>
      <xdr:spPr>
        <a:xfrm>
          <a:off x="5508631" y="2590058"/>
          <a:ext cx="735538" cy="354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DD03D9-5F3C-4F89-96EB-D6D7A56F233E}" type="TxLink">
            <a:rPr lang="en-US" sz="1600" b="1" i="1" u="none" strike="noStrike">
              <a:solidFill>
                <a:srgbClr val="FFFFFF"/>
              </a:solidFill>
              <a:latin typeface="Aptos Narrow"/>
              <a:ea typeface="+mn-ea"/>
              <a:cs typeface="+mn-cs"/>
            </a:rPr>
            <a:pPr marL="0" indent="0" algn="l"/>
            <a:t>Goal 4</a:t>
          </a:fld>
          <a:endParaRPr lang="en-US" sz="2000" b="1" i="1" u="none" strike="noStrike">
            <a:solidFill>
              <a:schemeClr val="tx2">
                <a:lumMod val="25000"/>
                <a:lumOff val="75000"/>
              </a:schemeClr>
            </a:solidFill>
            <a:latin typeface="Aptos Narrow"/>
            <a:ea typeface="+mn-ea"/>
            <a:cs typeface="+mn-cs"/>
          </a:endParaRPr>
        </a:p>
      </xdr:txBody>
    </xdr:sp>
    <xdr:clientData/>
  </xdr:twoCellAnchor>
  <xdr:twoCellAnchor>
    <xdr:from>
      <xdr:col>23</xdr:col>
      <xdr:colOff>317881</xdr:colOff>
      <xdr:row>33</xdr:row>
      <xdr:rowOff>8860</xdr:rowOff>
    </xdr:from>
    <xdr:to>
      <xdr:col>25</xdr:col>
      <xdr:colOff>85045</xdr:colOff>
      <xdr:row>35</xdr:row>
      <xdr:rowOff>3779</xdr:rowOff>
    </xdr:to>
    <xdr:sp macro="" textlink="Processing!F35">
      <xdr:nvSpPr>
        <xdr:cNvPr id="77" name="TextBox 76">
          <a:extLst>
            <a:ext uri="{FF2B5EF4-FFF2-40B4-BE49-F238E27FC236}">
              <a16:creationId xmlns:a16="http://schemas.microsoft.com/office/drawing/2014/main" id="{5FC16611-64EB-490D-A697-F0350A8E9F0D}"/>
            </a:ext>
          </a:extLst>
        </xdr:cNvPr>
        <xdr:cNvSpPr txBox="1"/>
      </xdr:nvSpPr>
      <xdr:spPr>
        <a:xfrm>
          <a:off x="14338681" y="6085810"/>
          <a:ext cx="986364"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A5ADB9-2CC4-4604-9A35-AA2E683E5678}" type="TxLink">
            <a:rPr lang="en-US" sz="1400" b="0" i="0" u="none" strike="noStrike">
              <a:solidFill>
                <a:schemeClr val="tx2">
                  <a:lumMod val="25000"/>
                  <a:lumOff val="75000"/>
                </a:schemeClr>
              </a:solidFill>
              <a:latin typeface="Aptos Narrow"/>
              <a:ea typeface="+mn-ea"/>
              <a:cs typeface="+mn-cs"/>
            </a:rPr>
            <a:pPr marL="0" indent="0" algn="ctr"/>
            <a:t>$99</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21</xdr:col>
      <xdr:colOff>468313</xdr:colOff>
      <xdr:row>21</xdr:row>
      <xdr:rowOff>103186</xdr:rowOff>
    </xdr:from>
    <xdr:to>
      <xdr:col>22</xdr:col>
      <xdr:colOff>222886</xdr:colOff>
      <xdr:row>23</xdr:row>
      <xdr:rowOff>103821</xdr:rowOff>
    </xdr:to>
    <xdr:sp macro="" textlink="">
      <xdr:nvSpPr>
        <xdr:cNvPr id="78" name="Oval 77">
          <a:extLst>
            <a:ext uri="{FF2B5EF4-FFF2-40B4-BE49-F238E27FC236}">
              <a16:creationId xmlns:a16="http://schemas.microsoft.com/office/drawing/2014/main" id="{778E9F3E-A5E5-4340-96B5-F7A3BC7A1156}"/>
            </a:ext>
          </a:extLst>
        </xdr:cNvPr>
        <xdr:cNvSpPr/>
      </xdr:nvSpPr>
      <xdr:spPr>
        <a:xfrm>
          <a:off x="13269913" y="3970336"/>
          <a:ext cx="364173" cy="368935"/>
        </a:xfrm>
        <a:prstGeom prst="ellipse">
          <a:avLst/>
        </a:prstGeom>
        <a:solidFill>
          <a:srgbClr val="FF00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23</xdr:row>
      <xdr:rowOff>168274</xdr:rowOff>
    </xdr:from>
    <xdr:to>
      <xdr:col>22</xdr:col>
      <xdr:colOff>222886</xdr:colOff>
      <xdr:row>25</xdr:row>
      <xdr:rowOff>168909</xdr:rowOff>
    </xdr:to>
    <xdr:sp macro="" textlink="">
      <xdr:nvSpPr>
        <xdr:cNvPr id="79" name="Oval 78">
          <a:extLst>
            <a:ext uri="{FF2B5EF4-FFF2-40B4-BE49-F238E27FC236}">
              <a16:creationId xmlns:a16="http://schemas.microsoft.com/office/drawing/2014/main" id="{B69A375B-1838-42E3-A03C-516BA6AED30F}"/>
            </a:ext>
          </a:extLst>
        </xdr:cNvPr>
        <xdr:cNvSpPr/>
      </xdr:nvSpPr>
      <xdr:spPr>
        <a:xfrm>
          <a:off x="13269913" y="4403724"/>
          <a:ext cx="364173" cy="368935"/>
        </a:xfrm>
        <a:prstGeom prst="ellipse">
          <a:avLst/>
        </a:prstGeom>
        <a:solidFill>
          <a:srgbClr val="00B0F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26</xdr:row>
      <xdr:rowOff>50800</xdr:rowOff>
    </xdr:from>
    <xdr:to>
      <xdr:col>22</xdr:col>
      <xdr:colOff>222886</xdr:colOff>
      <xdr:row>28</xdr:row>
      <xdr:rowOff>51435</xdr:rowOff>
    </xdr:to>
    <xdr:sp macro="" textlink="">
      <xdr:nvSpPr>
        <xdr:cNvPr id="80" name="Oval 79">
          <a:extLst>
            <a:ext uri="{FF2B5EF4-FFF2-40B4-BE49-F238E27FC236}">
              <a16:creationId xmlns:a16="http://schemas.microsoft.com/office/drawing/2014/main" id="{0EEAD945-BEAC-4BE5-9ABC-EE35F406FAA7}"/>
            </a:ext>
          </a:extLst>
        </xdr:cNvPr>
        <xdr:cNvSpPr/>
      </xdr:nvSpPr>
      <xdr:spPr>
        <a:xfrm>
          <a:off x="13269913" y="4838700"/>
          <a:ext cx="364173" cy="368935"/>
        </a:xfrm>
        <a:prstGeom prst="ellipse">
          <a:avLst/>
        </a:prstGeom>
        <a:solidFill>
          <a:srgbClr val="AD27FE"/>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28</xdr:row>
      <xdr:rowOff>115888</xdr:rowOff>
    </xdr:from>
    <xdr:to>
      <xdr:col>22</xdr:col>
      <xdr:colOff>222886</xdr:colOff>
      <xdr:row>30</xdr:row>
      <xdr:rowOff>116523</xdr:rowOff>
    </xdr:to>
    <xdr:sp macro="" textlink="">
      <xdr:nvSpPr>
        <xdr:cNvPr id="81" name="Oval 80">
          <a:extLst>
            <a:ext uri="{FF2B5EF4-FFF2-40B4-BE49-F238E27FC236}">
              <a16:creationId xmlns:a16="http://schemas.microsoft.com/office/drawing/2014/main" id="{05BEC1A6-CCD5-4D56-BB2B-E9C8421DBAB5}"/>
            </a:ext>
          </a:extLst>
        </xdr:cNvPr>
        <xdr:cNvSpPr/>
      </xdr:nvSpPr>
      <xdr:spPr>
        <a:xfrm>
          <a:off x="13269913" y="5272088"/>
          <a:ext cx="364173" cy="368935"/>
        </a:xfrm>
        <a:prstGeom prst="ellipse">
          <a:avLst/>
        </a:prstGeom>
        <a:solidFill>
          <a:srgbClr val="3A5CE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30</xdr:row>
      <xdr:rowOff>180976</xdr:rowOff>
    </xdr:from>
    <xdr:to>
      <xdr:col>22</xdr:col>
      <xdr:colOff>222886</xdr:colOff>
      <xdr:row>32</xdr:row>
      <xdr:rowOff>181611</xdr:rowOff>
    </xdr:to>
    <xdr:sp macro="" textlink="">
      <xdr:nvSpPr>
        <xdr:cNvPr id="82" name="Oval 81">
          <a:extLst>
            <a:ext uri="{FF2B5EF4-FFF2-40B4-BE49-F238E27FC236}">
              <a16:creationId xmlns:a16="http://schemas.microsoft.com/office/drawing/2014/main" id="{7A5DA829-31E9-4CBA-A088-24EFE7AE7DA5}"/>
            </a:ext>
          </a:extLst>
        </xdr:cNvPr>
        <xdr:cNvSpPr/>
      </xdr:nvSpPr>
      <xdr:spPr>
        <a:xfrm>
          <a:off x="13269913" y="5705476"/>
          <a:ext cx="364173" cy="368935"/>
        </a:xfrm>
        <a:prstGeom prst="ellipse">
          <a:avLst/>
        </a:prstGeom>
        <a:solidFill>
          <a:srgbClr val="8D76FC"/>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468313</xdr:colOff>
      <xdr:row>33</xdr:row>
      <xdr:rowOff>63499</xdr:rowOff>
    </xdr:from>
    <xdr:to>
      <xdr:col>22</xdr:col>
      <xdr:colOff>222886</xdr:colOff>
      <xdr:row>35</xdr:row>
      <xdr:rowOff>64134</xdr:rowOff>
    </xdr:to>
    <xdr:sp macro="" textlink="">
      <xdr:nvSpPr>
        <xdr:cNvPr id="83" name="Oval 82">
          <a:extLst>
            <a:ext uri="{FF2B5EF4-FFF2-40B4-BE49-F238E27FC236}">
              <a16:creationId xmlns:a16="http://schemas.microsoft.com/office/drawing/2014/main" id="{4EAA93C0-9370-4B33-B120-F2BB9E5F713D}"/>
            </a:ext>
          </a:extLst>
        </xdr:cNvPr>
        <xdr:cNvSpPr/>
      </xdr:nvSpPr>
      <xdr:spPr>
        <a:xfrm>
          <a:off x="13269913" y="6140449"/>
          <a:ext cx="364173" cy="368935"/>
        </a:xfrm>
        <a:prstGeom prst="ellipse">
          <a:avLst/>
        </a:prstGeom>
        <a:solidFill>
          <a:srgbClr val="00206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500063</xdr:colOff>
      <xdr:row>21</xdr:row>
      <xdr:rowOff>126999</xdr:rowOff>
    </xdr:from>
    <xdr:to>
      <xdr:col>22</xdr:col>
      <xdr:colOff>201439</xdr:colOff>
      <xdr:row>23</xdr:row>
      <xdr:rowOff>36194</xdr:rowOff>
    </xdr:to>
    <xdr:pic>
      <xdr:nvPicPr>
        <xdr:cNvPr id="84" name="Graphic 83" descr="Treasure chest outline">
          <a:extLst>
            <a:ext uri="{FF2B5EF4-FFF2-40B4-BE49-F238E27FC236}">
              <a16:creationId xmlns:a16="http://schemas.microsoft.com/office/drawing/2014/main" id="{73FDE05E-A323-4723-A7DA-1A7BD3701D8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3301663" y="3994149"/>
          <a:ext cx="310976" cy="277495"/>
        </a:xfrm>
        <a:prstGeom prst="rect">
          <a:avLst/>
        </a:prstGeom>
      </xdr:spPr>
    </xdr:pic>
    <xdr:clientData/>
  </xdr:twoCellAnchor>
  <xdr:twoCellAnchor editAs="oneCell">
    <xdr:from>
      <xdr:col>21</xdr:col>
      <xdr:colOff>497625</xdr:colOff>
      <xdr:row>24</xdr:row>
      <xdr:rowOff>37250</xdr:rowOff>
    </xdr:from>
    <xdr:to>
      <xdr:col>22</xdr:col>
      <xdr:colOff>160758</xdr:colOff>
      <xdr:row>25</xdr:row>
      <xdr:rowOff>129007</xdr:rowOff>
    </xdr:to>
    <xdr:pic>
      <xdr:nvPicPr>
        <xdr:cNvPr id="85" name="Graphic 84" descr="Bar graph with upward trend with solid fill">
          <a:extLst>
            <a:ext uri="{FF2B5EF4-FFF2-40B4-BE49-F238E27FC236}">
              <a16:creationId xmlns:a16="http://schemas.microsoft.com/office/drawing/2014/main" id="{A43CE635-B8E5-406E-A0B5-496ECA9BD458}"/>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3299225" y="4456850"/>
          <a:ext cx="272733" cy="275907"/>
        </a:xfrm>
        <a:prstGeom prst="rect">
          <a:avLst/>
        </a:prstGeom>
      </xdr:spPr>
    </xdr:pic>
    <xdr:clientData/>
  </xdr:twoCellAnchor>
  <xdr:twoCellAnchor editAs="oneCell">
    <xdr:from>
      <xdr:col>21</xdr:col>
      <xdr:colOff>528319</xdr:colOff>
      <xdr:row>26</xdr:row>
      <xdr:rowOff>80085</xdr:rowOff>
    </xdr:from>
    <xdr:to>
      <xdr:col>22</xdr:col>
      <xdr:colOff>188381</xdr:colOff>
      <xdr:row>27</xdr:row>
      <xdr:rowOff>171842</xdr:rowOff>
    </xdr:to>
    <xdr:pic>
      <xdr:nvPicPr>
        <xdr:cNvPr id="86" name="Graphic 85" descr="Bar graph with downward trend with solid fill">
          <a:extLst>
            <a:ext uri="{FF2B5EF4-FFF2-40B4-BE49-F238E27FC236}">
              <a16:creationId xmlns:a16="http://schemas.microsoft.com/office/drawing/2014/main" id="{9C42DB7E-FF2E-46A3-AA98-A9E11C652F79}"/>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3329919" y="4867985"/>
          <a:ext cx="269662" cy="275907"/>
        </a:xfrm>
        <a:prstGeom prst="rect">
          <a:avLst/>
        </a:prstGeom>
      </xdr:spPr>
    </xdr:pic>
    <xdr:clientData/>
  </xdr:twoCellAnchor>
  <xdr:twoCellAnchor editAs="oneCell">
    <xdr:from>
      <xdr:col>21</xdr:col>
      <xdr:colOff>511388</xdr:colOff>
      <xdr:row>28</xdr:row>
      <xdr:rowOff>156069</xdr:rowOff>
    </xdr:from>
    <xdr:to>
      <xdr:col>22</xdr:col>
      <xdr:colOff>171189</xdr:colOff>
      <xdr:row>30</xdr:row>
      <xdr:rowOff>65264</xdr:rowOff>
    </xdr:to>
    <xdr:pic>
      <xdr:nvPicPr>
        <xdr:cNvPr id="87" name="Graphic 86" descr="Open hand with plant with solid fill">
          <a:extLst>
            <a:ext uri="{FF2B5EF4-FFF2-40B4-BE49-F238E27FC236}">
              <a16:creationId xmlns:a16="http://schemas.microsoft.com/office/drawing/2014/main" id="{9F39E04D-EC94-49A9-9849-FDFA333ABD0C}"/>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3312988" y="5312269"/>
          <a:ext cx="269401" cy="277495"/>
        </a:xfrm>
        <a:prstGeom prst="rect">
          <a:avLst/>
        </a:prstGeom>
      </xdr:spPr>
    </xdr:pic>
    <xdr:clientData/>
  </xdr:twoCellAnchor>
  <xdr:twoCellAnchor>
    <xdr:from>
      <xdr:col>21</xdr:col>
      <xdr:colOff>505665</xdr:colOff>
      <xdr:row>31</xdr:row>
      <xdr:rowOff>40155</xdr:rowOff>
    </xdr:from>
    <xdr:to>
      <xdr:col>22</xdr:col>
      <xdr:colOff>168798</xdr:colOff>
      <xdr:row>32</xdr:row>
      <xdr:rowOff>131913</xdr:rowOff>
    </xdr:to>
    <xdr:sp macro="" textlink="">
      <xdr:nvSpPr>
        <xdr:cNvPr id="88" name="TextBox 87">
          <a:extLst>
            <a:ext uri="{FF2B5EF4-FFF2-40B4-BE49-F238E27FC236}">
              <a16:creationId xmlns:a16="http://schemas.microsoft.com/office/drawing/2014/main" id="{73E03561-43EB-4FCA-A80F-7D2EDB326D1B}"/>
            </a:ext>
          </a:extLst>
        </xdr:cNvPr>
        <xdr:cNvSpPr txBox="1"/>
      </xdr:nvSpPr>
      <xdr:spPr>
        <a:xfrm>
          <a:off x="13307265" y="5748805"/>
          <a:ext cx="272733" cy="275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a:t>
          </a:r>
          <a:endParaRPr lang="en-US" sz="2400">
            <a:solidFill>
              <a:schemeClr val="bg1"/>
            </a:solidFill>
          </a:endParaRPr>
        </a:p>
      </xdr:txBody>
    </xdr:sp>
    <xdr:clientData/>
  </xdr:twoCellAnchor>
  <xdr:twoCellAnchor editAs="oneCell">
    <xdr:from>
      <xdr:col>21</xdr:col>
      <xdr:colOff>521542</xdr:colOff>
      <xdr:row>33</xdr:row>
      <xdr:rowOff>109723</xdr:rowOff>
    </xdr:from>
    <xdr:to>
      <xdr:col>22</xdr:col>
      <xdr:colOff>186371</xdr:colOff>
      <xdr:row>35</xdr:row>
      <xdr:rowOff>18918</xdr:rowOff>
    </xdr:to>
    <xdr:pic>
      <xdr:nvPicPr>
        <xdr:cNvPr id="89" name="Graphic 88" descr="Bullseye with solid fill">
          <a:extLst>
            <a:ext uri="{FF2B5EF4-FFF2-40B4-BE49-F238E27FC236}">
              <a16:creationId xmlns:a16="http://schemas.microsoft.com/office/drawing/2014/main" id="{31F578D4-158C-4BFA-A9EF-68079FFAC408}"/>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3323142" y="6186673"/>
          <a:ext cx="274429" cy="277495"/>
        </a:xfrm>
        <a:prstGeom prst="rect">
          <a:avLst/>
        </a:prstGeom>
      </xdr:spPr>
    </xdr:pic>
    <xdr:clientData/>
  </xdr:twoCellAnchor>
  <xdr:twoCellAnchor>
    <xdr:from>
      <xdr:col>4</xdr:col>
      <xdr:colOff>575469</xdr:colOff>
      <xdr:row>17</xdr:row>
      <xdr:rowOff>140460</xdr:rowOff>
    </xdr:from>
    <xdr:to>
      <xdr:col>6</xdr:col>
      <xdr:colOff>382323</xdr:colOff>
      <xdr:row>20</xdr:row>
      <xdr:rowOff>53145</xdr:rowOff>
    </xdr:to>
    <xdr:sp macro="" textlink="">
      <xdr:nvSpPr>
        <xdr:cNvPr id="90" name="TextBox 89">
          <a:extLst>
            <a:ext uri="{FF2B5EF4-FFF2-40B4-BE49-F238E27FC236}">
              <a16:creationId xmlns:a16="http://schemas.microsoft.com/office/drawing/2014/main" id="{606EB405-CD85-4A4A-9EF8-B0BB4D3DE81F}"/>
            </a:ext>
          </a:extLst>
        </xdr:cNvPr>
        <xdr:cNvSpPr txBox="1"/>
      </xdr:nvSpPr>
      <xdr:spPr>
        <a:xfrm>
          <a:off x="3013869" y="3271010"/>
          <a:ext cx="1026054" cy="46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6372A4"/>
              </a:solidFill>
            </a:rPr>
            <a:t>Income</a:t>
          </a:r>
          <a:endParaRPr lang="en-US" sz="1100">
            <a:solidFill>
              <a:srgbClr val="6372A4"/>
            </a:solidFill>
          </a:endParaRPr>
        </a:p>
      </xdr:txBody>
    </xdr:sp>
    <xdr:clientData/>
  </xdr:twoCellAnchor>
  <xdr:twoCellAnchor>
    <xdr:from>
      <xdr:col>5</xdr:col>
      <xdr:colOff>51594</xdr:colOff>
      <xdr:row>22</xdr:row>
      <xdr:rowOff>63202</xdr:rowOff>
    </xdr:from>
    <xdr:to>
      <xdr:col>6</xdr:col>
      <xdr:colOff>443178</xdr:colOff>
      <xdr:row>24</xdr:row>
      <xdr:rowOff>87016</xdr:rowOff>
    </xdr:to>
    <xdr:sp macro="" textlink="">
      <xdr:nvSpPr>
        <xdr:cNvPr id="91" name="TextBox 90">
          <a:extLst>
            <a:ext uri="{FF2B5EF4-FFF2-40B4-BE49-F238E27FC236}">
              <a16:creationId xmlns:a16="http://schemas.microsoft.com/office/drawing/2014/main" id="{B90D55F8-D8AA-41FD-A005-07EC44D08900}"/>
            </a:ext>
          </a:extLst>
        </xdr:cNvPr>
        <xdr:cNvSpPr txBox="1"/>
      </xdr:nvSpPr>
      <xdr:spPr>
        <a:xfrm>
          <a:off x="3099594" y="4114502"/>
          <a:ext cx="1001184" cy="392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Expensev</a:t>
          </a:r>
        </a:p>
      </xdr:txBody>
    </xdr:sp>
    <xdr:clientData/>
  </xdr:twoCellAnchor>
  <xdr:twoCellAnchor>
    <xdr:from>
      <xdr:col>5</xdr:col>
      <xdr:colOff>185207</xdr:colOff>
      <xdr:row>28</xdr:row>
      <xdr:rowOff>146045</xdr:rowOff>
    </xdr:from>
    <xdr:to>
      <xdr:col>6</xdr:col>
      <xdr:colOff>552979</xdr:colOff>
      <xdr:row>30</xdr:row>
      <xdr:rowOff>53441</xdr:rowOff>
    </xdr:to>
    <xdr:sp macro="" textlink="">
      <xdr:nvSpPr>
        <xdr:cNvPr id="92" name="TextBox 91">
          <a:extLst>
            <a:ext uri="{FF2B5EF4-FFF2-40B4-BE49-F238E27FC236}">
              <a16:creationId xmlns:a16="http://schemas.microsoft.com/office/drawing/2014/main" id="{62D5A419-6E72-4FE8-99BF-F6E9D752D348}"/>
            </a:ext>
          </a:extLst>
        </xdr:cNvPr>
        <xdr:cNvSpPr txBox="1"/>
      </xdr:nvSpPr>
      <xdr:spPr>
        <a:xfrm>
          <a:off x="3233207" y="5302245"/>
          <a:ext cx="977372" cy="275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Debts</a:t>
          </a:r>
          <a:endParaRPr lang="en-US" sz="1100">
            <a:solidFill>
              <a:srgbClr val="6372A4"/>
            </a:solidFill>
          </a:endParaRPr>
        </a:p>
        <a:p>
          <a:endParaRPr lang="en-US" sz="1100"/>
        </a:p>
      </xdr:txBody>
    </xdr:sp>
    <xdr:clientData/>
  </xdr:twoCellAnchor>
  <xdr:twoCellAnchor>
    <xdr:from>
      <xdr:col>5</xdr:col>
      <xdr:colOff>43656</xdr:colOff>
      <xdr:row>33</xdr:row>
      <xdr:rowOff>13230</xdr:rowOff>
    </xdr:from>
    <xdr:to>
      <xdr:col>6</xdr:col>
      <xdr:colOff>353219</xdr:colOff>
      <xdr:row>36</xdr:row>
      <xdr:rowOff>52918</xdr:rowOff>
    </xdr:to>
    <xdr:sp macro="" textlink="">
      <xdr:nvSpPr>
        <xdr:cNvPr id="93" name="TextBox 92">
          <a:extLst>
            <a:ext uri="{FF2B5EF4-FFF2-40B4-BE49-F238E27FC236}">
              <a16:creationId xmlns:a16="http://schemas.microsoft.com/office/drawing/2014/main" id="{2E647753-FF08-4413-91AC-873E1B22FFD6}"/>
            </a:ext>
          </a:extLst>
        </xdr:cNvPr>
        <xdr:cNvSpPr txBox="1"/>
      </xdr:nvSpPr>
      <xdr:spPr>
        <a:xfrm>
          <a:off x="3091656" y="6090180"/>
          <a:ext cx="919163" cy="59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6372A4"/>
              </a:solidFill>
            </a:rPr>
            <a:t>Fin Goals</a:t>
          </a:r>
        </a:p>
      </xdr:txBody>
    </xdr:sp>
    <xdr:clientData/>
  </xdr:twoCellAnchor>
  <xdr:twoCellAnchor>
    <xdr:from>
      <xdr:col>4</xdr:col>
      <xdr:colOff>598583</xdr:colOff>
      <xdr:row>26</xdr:row>
      <xdr:rowOff>9761</xdr:rowOff>
    </xdr:from>
    <xdr:to>
      <xdr:col>6</xdr:col>
      <xdr:colOff>345983</xdr:colOff>
      <xdr:row>28</xdr:row>
      <xdr:rowOff>24861</xdr:rowOff>
    </xdr:to>
    <xdr:sp macro="" textlink="">
      <xdr:nvSpPr>
        <xdr:cNvPr id="94" name="TextBox 93">
          <a:extLst>
            <a:ext uri="{FF2B5EF4-FFF2-40B4-BE49-F238E27FC236}">
              <a16:creationId xmlns:a16="http://schemas.microsoft.com/office/drawing/2014/main" id="{D9643AF9-6FA6-4D85-8C33-EC1507665237}"/>
            </a:ext>
          </a:extLst>
        </xdr:cNvPr>
        <xdr:cNvSpPr txBox="1"/>
      </xdr:nvSpPr>
      <xdr:spPr>
        <a:xfrm>
          <a:off x="3036983" y="4797661"/>
          <a:ext cx="966600" cy="38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rgbClr val="6372A4"/>
              </a:solidFill>
            </a:rPr>
            <a:t>Investmants</a:t>
          </a:r>
        </a:p>
      </xdr:txBody>
    </xdr:sp>
    <xdr:clientData/>
  </xdr:twoCellAnchor>
  <xdr:twoCellAnchor>
    <xdr:from>
      <xdr:col>4</xdr:col>
      <xdr:colOff>454327</xdr:colOff>
      <xdr:row>14</xdr:row>
      <xdr:rowOff>54595</xdr:rowOff>
    </xdr:from>
    <xdr:to>
      <xdr:col>6</xdr:col>
      <xdr:colOff>500818</xdr:colOff>
      <xdr:row>15</xdr:row>
      <xdr:rowOff>172735</xdr:rowOff>
    </xdr:to>
    <xdr:sp macro="" textlink="">
      <xdr:nvSpPr>
        <xdr:cNvPr id="95" name="TextBox 94">
          <a:extLst>
            <a:ext uri="{FF2B5EF4-FFF2-40B4-BE49-F238E27FC236}">
              <a16:creationId xmlns:a16="http://schemas.microsoft.com/office/drawing/2014/main" id="{340C041D-975E-4C45-A7A0-91597B9334F1}"/>
            </a:ext>
          </a:extLst>
        </xdr:cNvPr>
        <xdr:cNvSpPr txBox="1"/>
      </xdr:nvSpPr>
      <xdr:spPr>
        <a:xfrm>
          <a:off x="2892727" y="2632695"/>
          <a:ext cx="1265691" cy="302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rgbClr val="6372A4"/>
              </a:solidFill>
            </a:rPr>
            <a:t>Blanace</a:t>
          </a:r>
        </a:p>
      </xdr:txBody>
    </xdr:sp>
    <xdr:clientData/>
  </xdr:twoCellAnchor>
  <xdr:twoCellAnchor>
    <xdr:from>
      <xdr:col>22</xdr:col>
      <xdr:colOff>259293</xdr:colOff>
      <xdr:row>21</xdr:row>
      <xdr:rowOff>117929</xdr:rowOff>
    </xdr:from>
    <xdr:to>
      <xdr:col>23</xdr:col>
      <xdr:colOff>571499</xdr:colOff>
      <xdr:row>23</xdr:row>
      <xdr:rowOff>74082</xdr:rowOff>
    </xdr:to>
    <xdr:sp macro="" textlink="Processing!A16">
      <xdr:nvSpPr>
        <xdr:cNvPr id="96" name="TextBox 95">
          <a:extLst>
            <a:ext uri="{FF2B5EF4-FFF2-40B4-BE49-F238E27FC236}">
              <a16:creationId xmlns:a16="http://schemas.microsoft.com/office/drawing/2014/main" id="{7BE7DE9C-7F21-4562-8DCC-C9C7E3A0FAE5}"/>
            </a:ext>
          </a:extLst>
        </xdr:cNvPr>
        <xdr:cNvSpPr txBox="1"/>
      </xdr:nvSpPr>
      <xdr:spPr>
        <a:xfrm>
          <a:off x="13670493" y="3985079"/>
          <a:ext cx="921806" cy="324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a:solidFill>
                <a:srgbClr val="6372A4"/>
              </a:solidFill>
              <a:latin typeface="Aptos Narrow"/>
              <a:ea typeface="+mn-ea"/>
              <a:cs typeface="+mn-cs"/>
            </a:rPr>
            <a:t>Budegting</a:t>
          </a:r>
        </a:p>
      </xdr:txBody>
    </xdr:sp>
    <xdr:clientData/>
  </xdr:twoCellAnchor>
  <xdr:twoCellAnchor>
    <xdr:from>
      <xdr:col>23</xdr:col>
      <xdr:colOff>536730</xdr:colOff>
      <xdr:row>21</xdr:row>
      <xdr:rowOff>122253</xdr:rowOff>
    </xdr:from>
    <xdr:to>
      <xdr:col>25</xdr:col>
      <xdr:colOff>303894</xdr:colOff>
      <xdr:row>23</xdr:row>
      <xdr:rowOff>117172</xdr:rowOff>
    </xdr:to>
    <xdr:sp macro="" textlink="Processing!B16">
      <xdr:nvSpPr>
        <xdr:cNvPr id="97" name="TextBox 96">
          <a:extLst>
            <a:ext uri="{FF2B5EF4-FFF2-40B4-BE49-F238E27FC236}">
              <a16:creationId xmlns:a16="http://schemas.microsoft.com/office/drawing/2014/main" id="{B247C7B3-4DD2-450F-ADE1-A48BF8781128}"/>
            </a:ext>
          </a:extLst>
        </xdr:cNvPr>
        <xdr:cNvSpPr txBox="1"/>
      </xdr:nvSpPr>
      <xdr:spPr>
        <a:xfrm>
          <a:off x="14557530" y="3989403"/>
          <a:ext cx="986364"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C9D3E8D-52D8-4F2C-8048-765B1CA0816D}" type="TxLink">
            <a:rPr lang="en-US" sz="1400" b="0" i="0" u="none" strike="noStrike">
              <a:solidFill>
                <a:schemeClr val="tx2">
                  <a:lumMod val="25000"/>
                  <a:lumOff val="75000"/>
                </a:schemeClr>
              </a:solidFill>
              <a:latin typeface="Aptos Narrow"/>
            </a:rPr>
            <a:pPr algn="l"/>
            <a:t>$281,096</a:t>
          </a:fld>
          <a:endParaRPr lang="en-US" sz="1600" b="1" i="1">
            <a:solidFill>
              <a:schemeClr val="tx2">
                <a:lumMod val="25000"/>
                <a:lumOff val="75000"/>
              </a:schemeClr>
            </a:solidFill>
          </a:endParaRPr>
        </a:p>
      </xdr:txBody>
    </xdr:sp>
    <xdr:clientData/>
  </xdr:twoCellAnchor>
  <xdr:twoCellAnchor>
    <xdr:from>
      <xdr:col>23</xdr:col>
      <xdr:colOff>501617</xdr:colOff>
      <xdr:row>24</xdr:row>
      <xdr:rowOff>4953</xdr:rowOff>
    </xdr:from>
    <xdr:to>
      <xdr:col>25</xdr:col>
      <xdr:colOff>33304</xdr:colOff>
      <xdr:row>25</xdr:row>
      <xdr:rowOff>181301</xdr:rowOff>
    </xdr:to>
    <xdr:sp macro="" textlink="Processing!D14">
      <xdr:nvSpPr>
        <xdr:cNvPr id="98" name="TextBox 97">
          <a:extLst>
            <a:ext uri="{FF2B5EF4-FFF2-40B4-BE49-F238E27FC236}">
              <a16:creationId xmlns:a16="http://schemas.microsoft.com/office/drawing/2014/main" id="{04EAAC1E-E178-4422-A1C3-0E6C48CAC2C3}"/>
            </a:ext>
          </a:extLst>
        </xdr:cNvPr>
        <xdr:cNvSpPr txBox="1"/>
      </xdr:nvSpPr>
      <xdr:spPr>
        <a:xfrm>
          <a:off x="14522417" y="4424553"/>
          <a:ext cx="750887" cy="360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BCFE1B3-8319-4848-AD16-7195E0564B31}" type="TxLink">
            <a:rPr lang="en-US" sz="1400" b="0" i="0" u="none" strike="noStrike">
              <a:solidFill>
                <a:schemeClr val="tx2">
                  <a:lumMod val="25000"/>
                  <a:lumOff val="75000"/>
                </a:schemeClr>
              </a:solidFill>
              <a:latin typeface="Aptos Narrow"/>
            </a:rPr>
            <a:pPr algn="r"/>
            <a:t>$17,800</a:t>
          </a:fld>
          <a:endParaRPr lang="en-US" sz="1600" b="1" i="1">
            <a:solidFill>
              <a:schemeClr val="tx2">
                <a:lumMod val="25000"/>
                <a:lumOff val="75000"/>
              </a:schemeClr>
            </a:solidFill>
          </a:endParaRPr>
        </a:p>
      </xdr:txBody>
    </xdr:sp>
    <xdr:clientData/>
  </xdr:twoCellAnchor>
  <xdr:twoCellAnchor>
    <xdr:from>
      <xdr:col>23</xdr:col>
      <xdr:colOff>565457</xdr:colOff>
      <xdr:row>28</xdr:row>
      <xdr:rowOff>145142</xdr:rowOff>
    </xdr:from>
    <xdr:to>
      <xdr:col>25</xdr:col>
      <xdr:colOff>81643</xdr:colOff>
      <xdr:row>30</xdr:row>
      <xdr:rowOff>136448</xdr:rowOff>
    </xdr:to>
    <xdr:sp macro="" textlink="Processing!H24">
      <xdr:nvSpPr>
        <xdr:cNvPr id="99" name="TextBox 98">
          <a:extLst>
            <a:ext uri="{FF2B5EF4-FFF2-40B4-BE49-F238E27FC236}">
              <a16:creationId xmlns:a16="http://schemas.microsoft.com/office/drawing/2014/main" id="{CF9618A6-6072-49A6-AFD2-A356050C2A88}"/>
            </a:ext>
          </a:extLst>
        </xdr:cNvPr>
        <xdr:cNvSpPr txBox="1"/>
      </xdr:nvSpPr>
      <xdr:spPr>
        <a:xfrm>
          <a:off x="14586257" y="5301342"/>
          <a:ext cx="735386" cy="359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14A13A3-2F80-4D92-BA43-F3C4056C2E86}" type="TxLink">
            <a:rPr lang="en-US" sz="1400" b="0" i="0" u="none" strike="noStrike">
              <a:solidFill>
                <a:schemeClr val="tx2">
                  <a:lumMod val="25000"/>
                  <a:lumOff val="75000"/>
                </a:schemeClr>
              </a:solidFill>
              <a:latin typeface="Aptos Narrow"/>
              <a:ea typeface="+mn-ea"/>
              <a:cs typeface="+mn-cs"/>
            </a:rPr>
            <a:pPr marL="0" indent="0" algn="l"/>
            <a:t>$121</a:t>
          </a:fld>
          <a:endParaRPr lang="en-US" sz="1400" b="0" i="0" u="none" strike="noStrike">
            <a:solidFill>
              <a:schemeClr val="tx2">
                <a:lumMod val="25000"/>
                <a:lumOff val="75000"/>
              </a:schemeClr>
            </a:solidFill>
            <a:latin typeface="Aptos Narrow"/>
            <a:ea typeface="+mn-ea"/>
            <a:cs typeface="+mn-cs"/>
          </a:endParaRPr>
        </a:p>
      </xdr:txBody>
    </xdr:sp>
    <xdr:clientData/>
  </xdr:twoCellAnchor>
  <xdr:twoCellAnchor>
    <xdr:from>
      <xdr:col>7</xdr:col>
      <xdr:colOff>292178</xdr:colOff>
      <xdr:row>17</xdr:row>
      <xdr:rowOff>120741</xdr:rowOff>
    </xdr:from>
    <xdr:to>
      <xdr:col>9</xdr:col>
      <xdr:colOff>59342</xdr:colOff>
      <xdr:row>19</xdr:row>
      <xdr:rowOff>115660</xdr:rowOff>
    </xdr:to>
    <xdr:sp macro="" textlink="Processing!F35">
      <xdr:nvSpPr>
        <xdr:cNvPr id="101" name="TextBox 100">
          <a:extLst>
            <a:ext uri="{FF2B5EF4-FFF2-40B4-BE49-F238E27FC236}">
              <a16:creationId xmlns:a16="http://schemas.microsoft.com/office/drawing/2014/main" id="{702D0E6A-F8AE-4FA0-9248-92984C0FC30D}"/>
            </a:ext>
          </a:extLst>
        </xdr:cNvPr>
        <xdr:cNvSpPr txBox="1"/>
      </xdr:nvSpPr>
      <xdr:spPr>
        <a:xfrm>
          <a:off x="4589011" y="3179324"/>
          <a:ext cx="994831" cy="354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A5ADB9-2CC4-4604-9A35-AA2E683E5678}" type="TxLink">
            <a:rPr lang="en-US" sz="2000" b="0" i="0" u="none" strike="noStrike">
              <a:solidFill>
                <a:schemeClr val="tx2">
                  <a:lumMod val="25000"/>
                  <a:lumOff val="75000"/>
                </a:schemeClr>
              </a:solidFill>
              <a:latin typeface="Aptos Narrow"/>
              <a:ea typeface="+mn-ea"/>
              <a:cs typeface="+mn-cs"/>
            </a:rPr>
            <a:pPr marL="0" indent="0" algn="ctr"/>
            <a:t>$99</a:t>
          </a:fld>
          <a:endParaRPr lang="en-US" sz="2000" b="0" i="0" u="none" strike="noStrike">
            <a:solidFill>
              <a:schemeClr val="tx2">
                <a:lumMod val="25000"/>
                <a:lumOff val="75000"/>
              </a:schemeClr>
            </a:solidFill>
            <a:latin typeface="Aptos Narrow"/>
            <a:ea typeface="+mn-ea"/>
            <a:cs typeface="+mn-cs"/>
          </a:endParaRPr>
        </a:p>
      </xdr:txBody>
    </xdr:sp>
    <xdr:clientData/>
  </xdr:twoCellAnchor>
  <xdr:twoCellAnchor>
    <xdr:from>
      <xdr:col>7</xdr:col>
      <xdr:colOff>312776</xdr:colOff>
      <xdr:row>8</xdr:row>
      <xdr:rowOff>164421</xdr:rowOff>
    </xdr:from>
    <xdr:to>
      <xdr:col>9</xdr:col>
      <xdr:colOff>211667</xdr:colOff>
      <xdr:row>10</xdr:row>
      <xdr:rowOff>148167</xdr:rowOff>
    </xdr:to>
    <xdr:sp macro="" textlink="">
      <xdr:nvSpPr>
        <xdr:cNvPr id="103" name="TextBox 102">
          <a:extLst>
            <a:ext uri="{FF2B5EF4-FFF2-40B4-BE49-F238E27FC236}">
              <a16:creationId xmlns:a16="http://schemas.microsoft.com/office/drawing/2014/main" id="{26DAA139-EDDE-4447-9E02-DD9CCDCD1F33}"/>
            </a:ext>
          </a:extLst>
        </xdr:cNvPr>
        <xdr:cNvSpPr txBox="1"/>
      </xdr:nvSpPr>
      <xdr:spPr>
        <a:xfrm>
          <a:off x="4609609" y="1603754"/>
          <a:ext cx="1126558" cy="343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a:solidFill>
                <a:schemeClr val="bg1"/>
              </a:solidFill>
            </a:rPr>
            <a:t>Fin Goals</a:t>
          </a:r>
        </a:p>
      </xdr:txBody>
    </xdr:sp>
    <xdr:clientData/>
  </xdr:twoCellAnchor>
  <xdr:twoCellAnchor>
    <xdr:from>
      <xdr:col>12</xdr:col>
      <xdr:colOff>455084</xdr:colOff>
      <xdr:row>10</xdr:row>
      <xdr:rowOff>137582</xdr:rowOff>
    </xdr:from>
    <xdr:to>
      <xdr:col>20</xdr:col>
      <xdr:colOff>105833</xdr:colOff>
      <xdr:row>28</xdr:row>
      <xdr:rowOff>148166</xdr:rowOff>
    </xdr:to>
    <xdr:sp macro="" textlink="">
      <xdr:nvSpPr>
        <xdr:cNvPr id="106" name="Rectangle: Rounded Corners 105">
          <a:extLst>
            <a:ext uri="{FF2B5EF4-FFF2-40B4-BE49-F238E27FC236}">
              <a16:creationId xmlns:a16="http://schemas.microsoft.com/office/drawing/2014/main" id="{A4FB715F-980F-BFEA-D42D-46E98EA382FD}"/>
            </a:ext>
          </a:extLst>
        </xdr:cNvPr>
        <xdr:cNvSpPr/>
      </xdr:nvSpPr>
      <xdr:spPr>
        <a:xfrm>
          <a:off x="7821084" y="1936749"/>
          <a:ext cx="4561416" cy="3249084"/>
        </a:xfrm>
        <a:prstGeom prst="roundRect">
          <a:avLst>
            <a:gd name="adj" fmla="val 12947"/>
          </a:avLst>
        </a:prstGeom>
        <a:gradFill>
          <a:gsLst>
            <a:gs pos="0">
              <a:srgbClr val="323687"/>
            </a:gs>
            <a:gs pos="41000">
              <a:srgbClr val="181A3C"/>
            </a:gs>
          </a:gsLst>
          <a:lin ang="7800000" scaled="0"/>
        </a:gradFill>
        <a:ln w="9525">
          <a:gradFill>
            <a:gsLst>
              <a:gs pos="32000">
                <a:srgbClr val="5D63D1"/>
              </a:gs>
              <a:gs pos="0">
                <a:srgbClr val="A2D8F0"/>
              </a:gs>
              <a:gs pos="100000">
                <a:srgbClr val="092735"/>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a:p>
          <a:pPr algn="l"/>
          <a:endParaRPr kumimoji="0" lang="en-US" sz="1100" b="1" i="1" u="none" strike="noStrike" kern="0" cap="none" spc="0" normalizeH="0" baseline="0" noProof="0">
            <a:ln>
              <a:noFill/>
            </a:ln>
            <a:solidFill>
              <a:srgbClr val="0E2841">
                <a:lumMod val="50000"/>
                <a:lumOff val="50000"/>
              </a:srgbClr>
            </a:solidFill>
            <a:effectLst/>
            <a:uLnTx/>
            <a:uFillTx/>
            <a:latin typeface="+mn-lt"/>
            <a:ea typeface="+mn-ea"/>
            <a:cs typeface="+mn-cs"/>
          </a:endParaRPr>
        </a:p>
      </xdr:txBody>
    </xdr:sp>
    <xdr:clientData/>
  </xdr:twoCellAnchor>
  <xdr:twoCellAnchor>
    <xdr:from>
      <xdr:col>12</xdr:col>
      <xdr:colOff>391584</xdr:colOff>
      <xdr:row>11</xdr:row>
      <xdr:rowOff>158750</xdr:rowOff>
    </xdr:from>
    <xdr:to>
      <xdr:col>20</xdr:col>
      <xdr:colOff>52917</xdr:colOff>
      <xdr:row>27</xdr:row>
      <xdr:rowOff>23283</xdr:rowOff>
    </xdr:to>
    <xdr:graphicFrame macro="">
      <xdr:nvGraphicFramePr>
        <xdr:cNvPr id="105" name="Chart 104">
          <a:extLst>
            <a:ext uri="{FF2B5EF4-FFF2-40B4-BE49-F238E27FC236}">
              <a16:creationId xmlns:a16="http://schemas.microsoft.com/office/drawing/2014/main" id="{75BFE09A-9F72-4E84-9EAA-95CC36C65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0.35869</cdr:x>
      <cdr:y>0.33722</cdr:y>
    </cdr:from>
    <cdr:to>
      <cdr:x>0.60194</cdr:x>
      <cdr:y>0.67055</cdr:y>
    </cdr:to>
    <cdr:sp macro="" textlink="Processing!$F$38">
      <cdr:nvSpPr>
        <cdr:cNvPr id="2" name="Oval 1">
          <a:extLst xmlns:a="http://schemas.openxmlformats.org/drawingml/2006/main">
            <a:ext uri="{FF2B5EF4-FFF2-40B4-BE49-F238E27FC236}">
              <a16:creationId xmlns:a16="http://schemas.microsoft.com/office/drawing/2014/main" id="{A0BCBCF4-2D0E-DFCB-1EAC-248D6A5E83F1}"/>
            </a:ext>
          </a:extLst>
        </cdr:cNvPr>
        <cdr:cNvSpPr/>
      </cdr:nvSpPr>
      <cdr:spPr>
        <a:xfrm xmlns:a="http://schemas.openxmlformats.org/drawingml/2006/main">
          <a:off x="1213557" y="832553"/>
          <a:ext cx="822960" cy="822960"/>
        </a:xfrm>
        <a:prstGeom xmlns:a="http://schemas.openxmlformats.org/drawingml/2006/main" prst="ellipse">
          <a:avLst/>
        </a:prstGeom>
        <a:solidFill xmlns:a="http://schemas.openxmlformats.org/drawingml/2006/main">
          <a:srgbClr val="8D76FC">
            <a:alpha val="42000"/>
          </a:srgbClr>
        </a:solidFill>
        <a:ln xmlns:a="http://schemas.openxmlformats.org/drawingml/2006/main" w="9525">
          <a:solidFill>
            <a:srgbClr val="8199F3"/>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fld id="{6D938D52-711A-44B2-B188-9F31425724DA}" type="TxLink">
            <a:rPr lang="en-US" sz="1600" b="0" i="0" u="none" strike="noStrike" kern="1200">
              <a:solidFill>
                <a:schemeClr val="bg1"/>
              </a:solidFill>
              <a:latin typeface="Aptos Narrow"/>
            </a:rPr>
            <a:pPr algn="ctr"/>
            <a:t>39%</a:t>
          </a:fld>
          <a:endParaRPr lang="en-US" sz="1600" kern="1200">
            <a:solidFill>
              <a:schemeClr val="bg1"/>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44.053969212961" createdVersion="8" refreshedVersion="8" minRefreshableVersion="3" recordCount="366" xr:uid="{C080E9F5-1E20-4EB8-97D3-34F4D3DD5C09}">
  <cacheSource type="worksheet">
    <worksheetSource name="Mydata"/>
  </cacheSource>
  <cacheFields count="59">
    <cacheField name="Date" numFmtId="14">
      <sharedItems containsSemiMixedTypes="0" containsNonDate="0" containsDate="1" containsString="0" minDate="2024-01-01T00:00:00" maxDate="2025-01-01T00:00:00"/>
    </cacheField>
    <cacheField name="Month" numFmtId="0">
      <sharedItems count="12">
        <s v="JANUARY"/>
        <s v="FEBRUARY"/>
        <s v="MARCH"/>
        <s v="APRIL"/>
        <s v="MAY"/>
        <s v="JUNE"/>
        <s v="JULY"/>
        <s v="AUGUST"/>
        <s v="SEPTEMBER"/>
        <s v="OCTOBER"/>
        <s v="NOVEMBER"/>
        <s v="DECEMBER"/>
      </sharedItems>
    </cacheField>
    <cacheField name="Month N" numFmtId="0">
      <sharedItems containsSemiMixedTypes="0" containsString="0" containsNumber="1" containsInteger="1" minValue="1" maxValue="12"/>
    </cacheField>
    <cacheField name="Income" numFmtId="0">
      <sharedItems containsSemiMixedTypes="0" containsString="0" containsNumber="1" containsInteger="1" minValue="550" maxValue="1150"/>
    </cacheField>
    <cacheField name="Expenses" numFmtId="0">
      <sharedItems containsSemiMixedTypes="0" containsString="0" containsNumber="1" containsInteger="1" minValue="600" maxValue="850"/>
    </cacheField>
    <cacheField name="Non-Fixed Incom" numFmtId="0">
      <sharedItems containsSemiMixedTypes="0" containsString="0" containsNumber="1" containsInteger="1" minValue="0" maxValue="49"/>
    </cacheField>
    <cacheField name="Fixed Incom" numFmtId="0">
      <sharedItems containsSemiMixedTypes="0" containsString="0" containsNumber="1" containsInteger="1" minValue="0" maxValue="49"/>
    </cacheField>
    <cacheField name="Other Income" numFmtId="0">
      <sharedItems containsSemiMixedTypes="0" containsString="0" containsNumber="1" containsInteger="1" minValue="0" maxValue="49"/>
    </cacheField>
    <cacheField name="Non-Fixed Cost" numFmtId="0">
      <sharedItems containsSemiMixedTypes="0" containsString="0" containsNumber="1" containsInteger="1" minValue="0" maxValue="49"/>
    </cacheField>
    <cacheField name="Fixed Costs" numFmtId="0">
      <sharedItems containsSemiMixedTypes="0" containsString="0" containsNumber="1" containsInteger="1" minValue="0" maxValue="49"/>
    </cacheField>
    <cacheField name="Other Cost" numFmtId="0">
      <sharedItems containsSemiMixedTypes="0" containsString="0" containsNumber="1" containsInteger="1" minValue="0" maxValue="49"/>
    </cacheField>
    <cacheField name="Fixed Incom Business" numFmtId="0">
      <sharedItems containsSemiMixedTypes="0" containsString="0" containsNumber="1" containsInteger="1" minValue="0" maxValue="49"/>
    </cacheField>
    <cacheField name="Fixed Incom Securities" numFmtId="0">
      <sharedItems containsSemiMixedTypes="0" containsString="0" containsNumber="1" containsInteger="1" minValue="0" maxValue="49"/>
    </cacheField>
    <cacheField name="Fixed Incom Real estate" numFmtId="0">
      <sharedItems containsSemiMixedTypes="0" containsString="0" containsNumber="1" containsInteger="1" minValue="0" maxValue="49"/>
    </cacheField>
    <cacheField name="Fixed Incom Gold" numFmtId="0">
      <sharedItems containsSemiMixedTypes="0" containsString="0" containsNumber="1" containsInteger="1" minValue="0" maxValue="49"/>
    </cacheField>
    <cacheField name="Fixed Incom Cryptocurrency" numFmtId="0">
      <sharedItems containsSemiMixedTypes="0" containsString="0" containsNumber="1" containsInteger="1" minValue="0" maxValue="49"/>
    </cacheField>
    <cacheField name="Loans" numFmtId="0">
      <sharedItems containsSemiMixedTypes="0" containsString="0" containsNumber="1" containsInteger="1" minValue="0" maxValue="49"/>
    </cacheField>
    <cacheField name="Training courses" numFmtId="0">
      <sharedItems containsSemiMixedTypes="0" containsString="0" containsNumber="1" containsInteger="1" minValue="0" maxValue="49"/>
    </cacheField>
    <cacheField name="Travel public transport" numFmtId="0">
      <sharedItems containsSemiMixedTypes="0" containsString="0" containsNumber="1" containsInteger="1" minValue="0" maxValue="49"/>
    </cacheField>
    <cacheField name="Mobile connection" numFmtId="0">
      <sharedItems containsSemiMixedTypes="0" containsString="0" containsNumber="1" containsInteger="1" minValue="0" maxValue="49"/>
    </cacheField>
    <cacheField name="Food" numFmtId="0">
      <sharedItems containsSemiMixedTypes="0" containsString="0" containsNumber="1" containsInteger="1" minValue="0" maxValue="49"/>
    </cacheField>
    <cacheField name="Utility Payments" numFmtId="0">
      <sharedItems containsSemiMixedTypes="0" containsString="0" containsNumber="1" containsInteger="1" minValue="0" maxValue="49"/>
    </cacheField>
    <cacheField name="Internet &amp; TV" numFmtId="0">
      <sharedItems containsSemiMixedTypes="0" containsString="0" containsNumber="1" containsInteger="1" minValue="0" maxValue="49"/>
    </cacheField>
    <cacheField name="Household chemicals" numFmtId="0">
      <sharedItems containsSemiMixedTypes="0" containsString="0" containsNumber="1" containsInteger="1" minValue="0" maxValue="49"/>
    </cacheField>
    <cacheField name="Furniture &amp; utensils" numFmtId="0">
      <sharedItems containsSemiMixedTypes="0" containsString="0" containsNumber="1" containsInteger="1" minValue="0" maxValue="49"/>
    </cacheField>
    <cacheField name="BedLinen &amp; tablecloth" numFmtId="0">
      <sharedItems containsSemiMixedTypes="0" containsString="0" containsNumber="1" containsInteger="1" minValue="0" maxValue="49"/>
    </cacheField>
    <cacheField name="Cat food" numFmtId="0">
      <sharedItems containsSemiMixedTypes="0" containsString="0" containsNumber="1" containsInteger="1" minValue="0" maxValue="49"/>
    </cacheField>
    <cacheField name="Clothing &amp; footwear" numFmtId="0">
      <sharedItems containsSemiMixedTypes="0" containsString="0" containsNumber="1" containsInteger="1" minValue="0" maxValue="49"/>
    </cacheField>
    <cacheField name="Gym" numFmtId="0">
      <sharedItems containsSemiMixedTypes="0" containsString="0" containsNumber="1" containsInteger="1" minValue="0" maxValue="49"/>
    </cacheField>
    <cacheField name="Hygiene products" numFmtId="0">
      <sharedItems containsSemiMixedTypes="0" containsString="0" containsNumber="1" containsInteger="1" minValue="0" maxValue="49"/>
    </cacheField>
    <cacheField name="Medications" numFmtId="0">
      <sharedItems containsSemiMixedTypes="0" containsString="0" containsNumber="1" containsInteger="1" minValue="0" maxValue="49"/>
    </cacheField>
    <cacheField name="Hairdresser" numFmtId="0">
      <sharedItems containsSemiMixedTypes="0" containsString="0" containsNumber="1" containsInteger="1" minValue="0" maxValue="49"/>
    </cacheField>
    <cacheField name="Cosmetics &amp; perfumery" numFmtId="0">
      <sharedItems containsSemiMixedTypes="0" containsString="0" containsNumber="1" containsInteger="1" minValue="0" maxValue="49"/>
    </cacheField>
    <cacheField name="Fuel" numFmtId="0">
      <sharedItems containsSemiMixedTypes="0" containsString="0" containsNumber="1" containsInteger="1" minValue="0" maxValue="49"/>
    </cacheField>
    <cacheField name="Spare parts" numFmtId="0">
      <sharedItems containsSemiMixedTypes="0" containsString="0" containsNumber="1" containsInteger="1" minValue="0" maxValue="49"/>
    </cacheField>
    <cacheField name="Parking" numFmtId="0">
      <sharedItems containsSemiMixedTypes="0" containsString="0" containsNumber="1" containsInteger="1" minValue="0" maxValue="49"/>
    </cacheField>
    <cacheField name="Washing" numFmtId="0">
      <sharedItems containsSemiMixedTypes="0" containsString="0" containsNumber="1" containsInteger="1" minValue="0" maxValue="49"/>
    </cacheField>
    <cacheField name="Insurance" numFmtId="0">
      <sharedItems containsSemiMixedTypes="0" containsString="0" containsNumber="1" containsInteger="1" minValue="0" maxValue="49"/>
    </cacheField>
    <cacheField name="Holidays" numFmtId="0">
      <sharedItems containsSemiMixedTypes="0" containsString="0" containsNumber="1" containsInteger="1" minValue="0" maxValue="49"/>
    </cacheField>
    <cacheField name="Excursions" numFmtId="0">
      <sharedItems containsSemiMixedTypes="0" containsString="0" containsNumber="1" containsInteger="1" minValue="0" maxValue="49"/>
    </cacheField>
    <cacheField name="Restaurants" numFmtId="0">
      <sharedItems containsSemiMixedTypes="0" containsString="0" containsNumber="1" containsInteger="1" minValue="0" maxValue="49"/>
    </cacheField>
    <cacheField name="Hotels" numFmtId="0">
      <sharedItems containsSemiMixedTypes="0" containsString="0" containsNumber="1" containsInteger="1" minValue="0" maxValue="49"/>
    </cacheField>
    <cacheField name="Bags, packages, boxes" numFmtId="0">
      <sharedItems containsSemiMixedTypes="0" containsString="0" containsNumber="1" containsInteger="1" minValue="0" maxValue="49"/>
    </cacheField>
    <cacheField name="Snacks on the way" numFmtId="0">
      <sharedItems containsSemiMixedTypes="0" containsString="0" containsNumber="1" containsInteger="1" minValue="0" maxValue="49"/>
    </cacheField>
    <cacheField name="Investments Business" numFmtId="0">
      <sharedItems containsSemiMixedTypes="0" containsString="0" containsNumber="1" containsInteger="1" minValue="0" maxValue="49"/>
    </cacheField>
    <cacheField name="Investments Securities" numFmtId="0">
      <sharedItems containsSemiMixedTypes="0" containsString="0" containsNumber="1" containsInteger="1" minValue="0" maxValue="49"/>
    </cacheField>
    <cacheField name="Investments Cryptocurrency" numFmtId="0">
      <sharedItems containsSemiMixedTypes="0" containsString="0" containsNumber="1" containsInteger="1" minValue="0" maxValue="49"/>
    </cacheField>
    <cacheField name="Investments Real estate" numFmtId="0">
      <sharedItems containsSemiMixedTypes="0" containsString="0" containsNumber="1" containsInteger="1" minValue="0" maxValue="49"/>
    </cacheField>
    <cacheField name="Investments Gold" numFmtId="0">
      <sharedItems containsSemiMixedTypes="0" containsString="0" containsNumber="1" containsInteger="1" minValue="0" maxValue="49"/>
    </cacheField>
    <cacheField name="Mortgage" numFmtId="0">
      <sharedItems containsSemiMixedTypes="0" containsString="0" containsNumber="1" containsInteger="1" minValue="0" maxValue="49"/>
    </cacheField>
    <cacheField name="Car Leasing" numFmtId="0">
      <sharedItems containsSemiMixedTypes="0" containsString="0" containsNumber="1" containsInteger="1" minValue="0" maxValue="49"/>
    </cacheField>
    <cacheField name="Consumer Credit" numFmtId="0">
      <sharedItems containsSemiMixedTypes="0" containsString="0" containsNumber="1" containsInteger="1" minValue="0" maxValue="49"/>
    </cacheField>
    <cacheField name="Credit Card" numFmtId="0">
      <sharedItems containsSemiMixedTypes="0" containsString="0" containsNumber="1" containsInteger="1" minValue="0" maxValue="49"/>
    </cacheField>
    <cacheField name="Goal 1" numFmtId="0">
      <sharedItems containsSemiMixedTypes="0" containsString="0" containsNumber="1" containsInteger="1" minValue="0" maxValue="49"/>
    </cacheField>
    <cacheField name="Goal 2" numFmtId="0">
      <sharedItems containsSemiMixedTypes="0" containsString="0" containsNumber="1" containsInteger="1" minValue="0" maxValue="49"/>
    </cacheField>
    <cacheField name="Goal 3" numFmtId="0">
      <sharedItems containsSemiMixedTypes="0" containsString="0" containsNumber="1" containsInteger="1" minValue="0" maxValue="49"/>
    </cacheField>
    <cacheField name="Goal 4" numFmtId="0">
      <sharedItems containsSemiMixedTypes="0" containsString="0" containsNumber="1" containsInteger="1" minValue="0" maxValue="49"/>
    </cacheField>
    <cacheField name="Monthly Plan" numFmtId="0">
      <sharedItems containsSemiMixedTypes="0" containsString="0" containsNumber="1" containsInteger="1" minValue="29000" maxValue="230000"/>
    </cacheField>
    <cacheField name="Balance" numFmtId="0">
      <sharedItems containsSemiMixedTypes="0" containsString="0" containsNumber="1" containsInteger="1" minValue="3800" maxValue="8200"/>
    </cacheField>
  </cacheFields>
  <extLst>
    <ext xmlns:x14="http://schemas.microsoft.com/office/spreadsheetml/2009/9/main" uri="{725AE2AE-9491-48be-B2B4-4EB974FC3084}">
      <x14:pivotCacheDefinition pivotCacheId="17625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d v="2024-01-01T00:00:00"/>
    <x v="0"/>
    <n v="1"/>
    <n v="550"/>
    <n v="600"/>
    <n v="24"/>
    <n v="43"/>
    <n v="41"/>
    <n v="16"/>
    <n v="36"/>
    <n v="13"/>
    <n v="15"/>
    <n v="4"/>
    <n v="46"/>
    <n v="43"/>
    <n v="34"/>
    <n v="29"/>
    <n v="23"/>
    <n v="33"/>
    <n v="41"/>
    <n v="24"/>
    <n v="41"/>
    <n v="1"/>
    <n v="11"/>
    <n v="8"/>
    <n v="48"/>
    <n v="23"/>
    <n v="25"/>
    <n v="37"/>
    <n v="31"/>
    <n v="29"/>
    <n v="37"/>
    <n v="14"/>
    <n v="37"/>
    <n v="38"/>
    <n v="4"/>
    <n v="7"/>
    <n v="23"/>
    <n v="6"/>
    <n v="12"/>
    <n v="14"/>
    <n v="18"/>
    <n v="45"/>
    <n v="23"/>
    <n v="30"/>
    <n v="30"/>
    <n v="17"/>
    <n v="13"/>
    <n v="20"/>
    <n v="32"/>
    <n v="11"/>
    <n v="17"/>
    <n v="13"/>
    <n v="24"/>
    <n v="9"/>
    <n v="32"/>
    <n v="26"/>
    <n v="29000"/>
    <n v="3800"/>
  </r>
  <r>
    <d v="2024-01-02T00:00:00"/>
    <x v="0"/>
    <n v="1"/>
    <n v="551"/>
    <n v="600"/>
    <n v="48"/>
    <n v="24"/>
    <n v="1"/>
    <n v="22"/>
    <n v="23"/>
    <n v="31"/>
    <n v="48"/>
    <n v="17"/>
    <n v="30"/>
    <n v="47"/>
    <n v="27"/>
    <n v="31"/>
    <n v="12"/>
    <n v="34"/>
    <n v="7"/>
    <n v="6"/>
    <n v="34"/>
    <n v="3"/>
    <n v="48"/>
    <n v="40"/>
    <n v="37"/>
    <n v="34"/>
    <n v="31"/>
    <n v="45"/>
    <n v="20"/>
    <n v="0"/>
    <n v="46"/>
    <n v="4"/>
    <n v="38"/>
    <n v="38"/>
    <n v="34"/>
    <n v="6"/>
    <n v="37"/>
    <n v="27"/>
    <n v="31"/>
    <n v="34"/>
    <n v="30"/>
    <n v="31"/>
    <n v="20"/>
    <n v="16"/>
    <n v="5"/>
    <n v="44"/>
    <n v="12"/>
    <n v="18"/>
    <n v="31"/>
    <n v="34"/>
    <n v="49"/>
    <n v="15"/>
    <n v="31"/>
    <n v="44"/>
    <n v="37"/>
    <n v="9"/>
    <n v="29550"/>
    <n v="3812"/>
  </r>
  <r>
    <d v="2024-01-03T00:00:00"/>
    <x v="0"/>
    <n v="1"/>
    <n v="553"/>
    <n v="601"/>
    <n v="6"/>
    <n v="29"/>
    <n v="42"/>
    <n v="27"/>
    <n v="27"/>
    <n v="23"/>
    <n v="14"/>
    <n v="3"/>
    <n v="48"/>
    <n v="36"/>
    <n v="23"/>
    <n v="49"/>
    <n v="37"/>
    <n v="41"/>
    <n v="31"/>
    <n v="32"/>
    <n v="34"/>
    <n v="7"/>
    <n v="38"/>
    <n v="24"/>
    <n v="19"/>
    <n v="22"/>
    <n v="43"/>
    <n v="39"/>
    <n v="26"/>
    <n v="40"/>
    <n v="10"/>
    <n v="30"/>
    <n v="48"/>
    <n v="20"/>
    <n v="46"/>
    <n v="32"/>
    <n v="43"/>
    <n v="32"/>
    <n v="47"/>
    <n v="45"/>
    <n v="4"/>
    <n v="23"/>
    <n v="46"/>
    <n v="14"/>
    <n v="14"/>
    <n v="26"/>
    <n v="25"/>
    <n v="32"/>
    <n v="11"/>
    <n v="11"/>
    <n v="33"/>
    <n v="17"/>
    <n v="27"/>
    <n v="27"/>
    <n v="9"/>
    <n v="10"/>
    <n v="30101"/>
    <n v="3824"/>
  </r>
  <r>
    <d v="2024-01-04T00:00:00"/>
    <x v="0"/>
    <n v="1"/>
    <n v="554"/>
    <n v="602"/>
    <n v="21"/>
    <n v="27"/>
    <n v="19"/>
    <n v="26"/>
    <n v="11"/>
    <n v="0"/>
    <n v="36"/>
    <n v="49"/>
    <n v="0"/>
    <n v="15"/>
    <n v="15"/>
    <n v="9"/>
    <n v="10"/>
    <n v="27"/>
    <n v="39"/>
    <n v="42"/>
    <n v="24"/>
    <n v="19"/>
    <n v="40"/>
    <n v="18"/>
    <n v="19"/>
    <n v="30"/>
    <n v="25"/>
    <n v="30"/>
    <n v="2"/>
    <n v="45"/>
    <n v="25"/>
    <n v="1"/>
    <n v="6"/>
    <n v="20"/>
    <n v="28"/>
    <n v="37"/>
    <n v="42"/>
    <n v="35"/>
    <n v="35"/>
    <n v="44"/>
    <n v="34"/>
    <n v="38"/>
    <n v="36"/>
    <n v="21"/>
    <n v="41"/>
    <n v="37"/>
    <n v="33"/>
    <n v="16"/>
    <n v="13"/>
    <n v="35"/>
    <n v="24"/>
    <n v="18"/>
    <n v="41"/>
    <n v="49"/>
    <n v="14"/>
    <n v="41"/>
    <n v="30652"/>
    <n v="3836"/>
  </r>
  <r>
    <d v="2024-01-05T00:00:00"/>
    <x v="0"/>
    <n v="1"/>
    <n v="556"/>
    <n v="602"/>
    <n v="40"/>
    <n v="9"/>
    <n v="41"/>
    <n v="31"/>
    <n v="9"/>
    <n v="47"/>
    <n v="26"/>
    <n v="43"/>
    <n v="35"/>
    <n v="28"/>
    <n v="34"/>
    <n v="47"/>
    <n v="20"/>
    <n v="25"/>
    <n v="31"/>
    <n v="12"/>
    <n v="36"/>
    <n v="24"/>
    <n v="48"/>
    <n v="32"/>
    <n v="14"/>
    <n v="40"/>
    <n v="11"/>
    <n v="21"/>
    <n v="33"/>
    <n v="48"/>
    <n v="9"/>
    <n v="43"/>
    <n v="7"/>
    <n v="43"/>
    <n v="44"/>
    <n v="35"/>
    <n v="18"/>
    <n v="32"/>
    <n v="17"/>
    <n v="47"/>
    <n v="49"/>
    <n v="38"/>
    <n v="2"/>
    <n v="6"/>
    <n v="8"/>
    <n v="24"/>
    <n v="7"/>
    <n v="10"/>
    <n v="43"/>
    <n v="5"/>
    <n v="4"/>
    <n v="44"/>
    <n v="9"/>
    <n v="32"/>
    <n v="12"/>
    <n v="22"/>
    <n v="31202"/>
    <n v="3848"/>
  </r>
  <r>
    <d v="2024-01-06T00:00:00"/>
    <x v="0"/>
    <n v="1"/>
    <n v="558"/>
    <n v="603"/>
    <n v="24"/>
    <n v="20"/>
    <n v="24"/>
    <n v="8"/>
    <n v="23"/>
    <n v="5"/>
    <n v="17"/>
    <n v="43"/>
    <n v="18"/>
    <n v="27"/>
    <n v="19"/>
    <n v="22"/>
    <n v="38"/>
    <n v="49"/>
    <n v="14"/>
    <n v="8"/>
    <n v="26"/>
    <n v="34"/>
    <n v="32"/>
    <n v="5"/>
    <n v="16"/>
    <n v="46"/>
    <n v="22"/>
    <n v="9"/>
    <n v="15"/>
    <n v="27"/>
    <n v="2"/>
    <n v="40"/>
    <n v="1"/>
    <n v="5"/>
    <n v="38"/>
    <n v="30"/>
    <n v="40"/>
    <n v="42"/>
    <n v="18"/>
    <n v="45"/>
    <n v="6"/>
    <n v="41"/>
    <n v="1"/>
    <n v="26"/>
    <n v="43"/>
    <n v="6"/>
    <n v="21"/>
    <n v="20"/>
    <n v="8"/>
    <n v="0"/>
    <n v="36"/>
    <n v="43"/>
    <n v="25"/>
    <n v="5"/>
    <n v="11"/>
    <n v="46"/>
    <n v="31753"/>
    <n v="3860"/>
  </r>
  <r>
    <d v="2024-01-07T00:00:00"/>
    <x v="0"/>
    <n v="1"/>
    <n v="559"/>
    <n v="604"/>
    <n v="25"/>
    <n v="41"/>
    <n v="15"/>
    <n v="39"/>
    <n v="17"/>
    <n v="14"/>
    <n v="47"/>
    <n v="30"/>
    <n v="48"/>
    <n v="2"/>
    <n v="20"/>
    <n v="13"/>
    <n v="10"/>
    <n v="13"/>
    <n v="4"/>
    <n v="20"/>
    <n v="8"/>
    <n v="1"/>
    <n v="48"/>
    <n v="38"/>
    <n v="6"/>
    <n v="11"/>
    <n v="7"/>
    <n v="12"/>
    <n v="25"/>
    <n v="37"/>
    <n v="36"/>
    <n v="15"/>
    <n v="10"/>
    <n v="9"/>
    <n v="12"/>
    <n v="29"/>
    <n v="4"/>
    <n v="34"/>
    <n v="35"/>
    <n v="15"/>
    <n v="11"/>
    <n v="31"/>
    <n v="33"/>
    <n v="21"/>
    <n v="41"/>
    <n v="39"/>
    <n v="29"/>
    <n v="17"/>
    <n v="27"/>
    <n v="43"/>
    <n v="6"/>
    <n v="29"/>
    <n v="36"/>
    <n v="1"/>
    <n v="4"/>
    <n v="28"/>
    <n v="32304"/>
    <n v="3872"/>
  </r>
  <r>
    <d v="2024-01-08T00:00:00"/>
    <x v="0"/>
    <n v="1"/>
    <n v="561"/>
    <n v="604"/>
    <n v="13"/>
    <n v="22"/>
    <n v="35"/>
    <n v="42"/>
    <n v="45"/>
    <n v="49"/>
    <n v="22"/>
    <n v="17"/>
    <n v="15"/>
    <n v="41"/>
    <n v="7"/>
    <n v="12"/>
    <n v="8"/>
    <n v="37"/>
    <n v="21"/>
    <n v="43"/>
    <n v="29"/>
    <n v="34"/>
    <n v="24"/>
    <n v="6"/>
    <n v="5"/>
    <n v="21"/>
    <n v="11"/>
    <n v="10"/>
    <n v="29"/>
    <n v="45"/>
    <n v="41"/>
    <n v="48"/>
    <n v="3"/>
    <n v="25"/>
    <n v="25"/>
    <n v="24"/>
    <n v="31"/>
    <n v="11"/>
    <n v="23"/>
    <n v="46"/>
    <n v="1"/>
    <n v="4"/>
    <n v="40"/>
    <n v="24"/>
    <n v="42"/>
    <n v="47"/>
    <n v="33"/>
    <n v="12"/>
    <n v="26"/>
    <n v="13"/>
    <n v="26"/>
    <n v="48"/>
    <n v="14"/>
    <n v="39"/>
    <n v="7"/>
    <n v="14"/>
    <n v="32854"/>
    <n v="3884"/>
  </r>
  <r>
    <d v="2024-01-09T00:00:00"/>
    <x v="0"/>
    <n v="1"/>
    <n v="563"/>
    <n v="605"/>
    <n v="28"/>
    <n v="41"/>
    <n v="32"/>
    <n v="42"/>
    <n v="26"/>
    <n v="3"/>
    <n v="6"/>
    <n v="37"/>
    <n v="32"/>
    <n v="44"/>
    <n v="30"/>
    <n v="3"/>
    <n v="7"/>
    <n v="9"/>
    <n v="33"/>
    <n v="29"/>
    <n v="20"/>
    <n v="6"/>
    <n v="29"/>
    <n v="4"/>
    <n v="18"/>
    <n v="16"/>
    <n v="31"/>
    <n v="21"/>
    <n v="20"/>
    <n v="24"/>
    <n v="25"/>
    <n v="6"/>
    <n v="16"/>
    <n v="43"/>
    <n v="29"/>
    <n v="18"/>
    <n v="13"/>
    <n v="7"/>
    <n v="8"/>
    <n v="43"/>
    <n v="10"/>
    <n v="27"/>
    <n v="21"/>
    <n v="16"/>
    <n v="31"/>
    <n v="26"/>
    <n v="15"/>
    <n v="9"/>
    <n v="33"/>
    <n v="25"/>
    <n v="10"/>
    <n v="19"/>
    <n v="43"/>
    <n v="17"/>
    <n v="39"/>
    <n v="15"/>
    <n v="33405"/>
    <n v="3896"/>
  </r>
  <r>
    <d v="2024-01-10T00:00:00"/>
    <x v="0"/>
    <n v="1"/>
    <n v="564"/>
    <n v="606"/>
    <n v="46"/>
    <n v="11"/>
    <n v="44"/>
    <n v="32"/>
    <n v="26"/>
    <n v="12"/>
    <n v="25"/>
    <n v="16"/>
    <n v="26"/>
    <n v="8"/>
    <n v="45"/>
    <n v="36"/>
    <n v="42"/>
    <n v="41"/>
    <n v="35"/>
    <n v="33"/>
    <n v="29"/>
    <n v="43"/>
    <n v="20"/>
    <n v="0"/>
    <n v="45"/>
    <n v="34"/>
    <n v="45"/>
    <n v="1"/>
    <n v="41"/>
    <n v="1"/>
    <n v="21"/>
    <n v="5"/>
    <n v="41"/>
    <n v="49"/>
    <n v="26"/>
    <n v="30"/>
    <n v="0"/>
    <n v="3"/>
    <n v="41"/>
    <n v="23"/>
    <n v="47"/>
    <n v="45"/>
    <n v="33"/>
    <n v="35"/>
    <n v="22"/>
    <n v="6"/>
    <n v="4"/>
    <n v="19"/>
    <n v="37"/>
    <n v="18"/>
    <n v="15"/>
    <n v="4"/>
    <n v="7"/>
    <n v="30"/>
    <n v="45"/>
    <n v="43"/>
    <n v="33956"/>
    <n v="3908"/>
  </r>
  <r>
    <d v="2024-01-11T00:00:00"/>
    <x v="0"/>
    <n v="1"/>
    <n v="566"/>
    <n v="606"/>
    <n v="3"/>
    <n v="33"/>
    <n v="17"/>
    <n v="25"/>
    <n v="38"/>
    <n v="8"/>
    <n v="25"/>
    <n v="34"/>
    <n v="32"/>
    <n v="6"/>
    <n v="40"/>
    <n v="44"/>
    <n v="17"/>
    <n v="18"/>
    <n v="8"/>
    <n v="49"/>
    <n v="23"/>
    <n v="44"/>
    <n v="40"/>
    <n v="0"/>
    <n v="15"/>
    <n v="11"/>
    <n v="20"/>
    <n v="38"/>
    <n v="6"/>
    <n v="42"/>
    <n v="19"/>
    <n v="28"/>
    <n v="22"/>
    <n v="28"/>
    <n v="16"/>
    <n v="9"/>
    <n v="23"/>
    <n v="48"/>
    <n v="11"/>
    <n v="17"/>
    <n v="14"/>
    <n v="0"/>
    <n v="44"/>
    <n v="22"/>
    <n v="46"/>
    <n v="25"/>
    <n v="35"/>
    <n v="23"/>
    <n v="43"/>
    <n v="2"/>
    <n v="18"/>
    <n v="36"/>
    <n v="22"/>
    <n v="33"/>
    <n v="11"/>
    <n v="38"/>
    <n v="34506"/>
    <n v="3920"/>
  </r>
  <r>
    <d v="2024-01-12T00:00:00"/>
    <x v="0"/>
    <n v="1"/>
    <n v="568"/>
    <n v="607"/>
    <n v="37"/>
    <n v="11"/>
    <n v="44"/>
    <n v="38"/>
    <n v="3"/>
    <n v="41"/>
    <n v="49"/>
    <n v="20"/>
    <n v="9"/>
    <n v="17"/>
    <n v="3"/>
    <n v="45"/>
    <n v="34"/>
    <n v="49"/>
    <n v="21"/>
    <n v="37"/>
    <n v="24"/>
    <n v="19"/>
    <n v="49"/>
    <n v="27"/>
    <n v="11"/>
    <n v="34"/>
    <n v="3"/>
    <n v="42"/>
    <n v="25"/>
    <n v="24"/>
    <n v="33"/>
    <n v="24"/>
    <n v="33"/>
    <n v="46"/>
    <n v="22"/>
    <n v="14"/>
    <n v="32"/>
    <n v="44"/>
    <n v="23"/>
    <n v="45"/>
    <n v="13"/>
    <n v="14"/>
    <n v="26"/>
    <n v="18"/>
    <n v="29"/>
    <n v="19"/>
    <n v="14"/>
    <n v="7"/>
    <n v="12"/>
    <n v="47"/>
    <n v="7"/>
    <n v="29"/>
    <n v="32"/>
    <n v="33"/>
    <n v="9"/>
    <n v="25"/>
    <n v="35057"/>
    <n v="3932"/>
  </r>
  <r>
    <d v="2024-01-13T00:00:00"/>
    <x v="0"/>
    <n v="1"/>
    <n v="569"/>
    <n v="608"/>
    <n v="15"/>
    <n v="26"/>
    <n v="13"/>
    <n v="5"/>
    <n v="15"/>
    <n v="37"/>
    <n v="6"/>
    <n v="15"/>
    <n v="32"/>
    <n v="46"/>
    <n v="2"/>
    <n v="17"/>
    <n v="17"/>
    <n v="4"/>
    <n v="25"/>
    <n v="3"/>
    <n v="8"/>
    <n v="47"/>
    <n v="3"/>
    <n v="27"/>
    <n v="7"/>
    <n v="32"/>
    <n v="16"/>
    <n v="14"/>
    <n v="44"/>
    <n v="6"/>
    <n v="42"/>
    <n v="4"/>
    <n v="1"/>
    <n v="34"/>
    <n v="40"/>
    <n v="46"/>
    <n v="28"/>
    <n v="15"/>
    <n v="17"/>
    <n v="13"/>
    <n v="43"/>
    <n v="22"/>
    <n v="1"/>
    <n v="34"/>
    <n v="27"/>
    <n v="8"/>
    <n v="44"/>
    <n v="26"/>
    <n v="34"/>
    <n v="5"/>
    <n v="17"/>
    <n v="10"/>
    <n v="4"/>
    <n v="25"/>
    <n v="6"/>
    <n v="18"/>
    <n v="35608"/>
    <n v="3944"/>
  </r>
  <r>
    <d v="2024-01-14T00:00:00"/>
    <x v="0"/>
    <n v="1"/>
    <n v="571"/>
    <n v="608"/>
    <n v="2"/>
    <n v="44"/>
    <n v="33"/>
    <n v="21"/>
    <n v="42"/>
    <n v="3"/>
    <n v="48"/>
    <n v="32"/>
    <n v="29"/>
    <n v="43"/>
    <n v="48"/>
    <n v="40"/>
    <n v="40"/>
    <n v="24"/>
    <n v="33"/>
    <n v="18"/>
    <n v="13"/>
    <n v="31"/>
    <n v="12"/>
    <n v="15"/>
    <n v="30"/>
    <n v="30"/>
    <n v="47"/>
    <n v="1"/>
    <n v="8"/>
    <n v="42"/>
    <n v="39"/>
    <n v="49"/>
    <n v="47"/>
    <n v="13"/>
    <n v="48"/>
    <n v="28"/>
    <n v="39"/>
    <n v="32"/>
    <n v="5"/>
    <n v="8"/>
    <n v="11"/>
    <n v="6"/>
    <n v="11"/>
    <n v="46"/>
    <n v="44"/>
    <n v="18"/>
    <n v="22"/>
    <n v="25"/>
    <n v="46"/>
    <n v="10"/>
    <n v="40"/>
    <n v="47"/>
    <n v="24"/>
    <n v="12"/>
    <n v="20"/>
    <n v="25"/>
    <n v="36158"/>
    <n v="3956"/>
  </r>
  <r>
    <d v="2024-01-15T00:00:00"/>
    <x v="0"/>
    <n v="1"/>
    <n v="573"/>
    <n v="609"/>
    <n v="17"/>
    <n v="47"/>
    <n v="46"/>
    <n v="45"/>
    <n v="21"/>
    <n v="22"/>
    <n v="10"/>
    <n v="16"/>
    <n v="24"/>
    <n v="11"/>
    <n v="49"/>
    <n v="5"/>
    <n v="5"/>
    <n v="34"/>
    <n v="32"/>
    <n v="15"/>
    <n v="39"/>
    <n v="8"/>
    <n v="15"/>
    <n v="49"/>
    <n v="25"/>
    <n v="2"/>
    <n v="25"/>
    <n v="4"/>
    <n v="2"/>
    <n v="49"/>
    <n v="25"/>
    <n v="26"/>
    <n v="4"/>
    <n v="33"/>
    <n v="44"/>
    <n v="3"/>
    <n v="39"/>
    <n v="36"/>
    <n v="25"/>
    <n v="2"/>
    <n v="40"/>
    <n v="2"/>
    <n v="3"/>
    <n v="1"/>
    <n v="44"/>
    <n v="4"/>
    <n v="44"/>
    <n v="13"/>
    <n v="5"/>
    <n v="17"/>
    <n v="7"/>
    <n v="45"/>
    <n v="43"/>
    <n v="48"/>
    <n v="8"/>
    <n v="27"/>
    <n v="36709"/>
    <n v="3968"/>
  </r>
  <r>
    <d v="2024-01-16T00:00:00"/>
    <x v="0"/>
    <n v="1"/>
    <n v="574"/>
    <n v="610"/>
    <n v="45"/>
    <n v="34"/>
    <n v="8"/>
    <n v="9"/>
    <n v="45"/>
    <n v="20"/>
    <n v="4"/>
    <n v="18"/>
    <n v="38"/>
    <n v="4"/>
    <n v="35"/>
    <n v="40"/>
    <n v="48"/>
    <n v="27"/>
    <n v="34"/>
    <n v="38"/>
    <n v="23"/>
    <n v="40"/>
    <n v="21"/>
    <n v="16"/>
    <n v="15"/>
    <n v="18"/>
    <n v="42"/>
    <n v="11"/>
    <n v="10"/>
    <n v="30"/>
    <n v="27"/>
    <n v="31"/>
    <n v="21"/>
    <n v="39"/>
    <n v="12"/>
    <n v="41"/>
    <n v="37"/>
    <n v="28"/>
    <n v="15"/>
    <n v="47"/>
    <n v="30"/>
    <n v="7"/>
    <n v="38"/>
    <n v="14"/>
    <n v="43"/>
    <n v="3"/>
    <n v="38"/>
    <n v="26"/>
    <n v="43"/>
    <n v="37"/>
    <n v="6"/>
    <n v="30"/>
    <n v="6"/>
    <n v="1"/>
    <n v="2"/>
    <n v="34"/>
    <n v="37260"/>
    <n v="3980"/>
  </r>
  <r>
    <d v="2024-01-17T00:00:00"/>
    <x v="0"/>
    <n v="1"/>
    <n v="576"/>
    <n v="610"/>
    <n v="13"/>
    <n v="0"/>
    <n v="22"/>
    <n v="14"/>
    <n v="44"/>
    <n v="15"/>
    <n v="4"/>
    <n v="6"/>
    <n v="37"/>
    <n v="37"/>
    <n v="45"/>
    <n v="1"/>
    <n v="45"/>
    <n v="21"/>
    <n v="40"/>
    <n v="37"/>
    <n v="0"/>
    <n v="38"/>
    <n v="4"/>
    <n v="3"/>
    <n v="21"/>
    <n v="46"/>
    <n v="33"/>
    <n v="12"/>
    <n v="31"/>
    <n v="19"/>
    <n v="10"/>
    <n v="9"/>
    <n v="2"/>
    <n v="6"/>
    <n v="23"/>
    <n v="25"/>
    <n v="41"/>
    <n v="34"/>
    <n v="48"/>
    <n v="24"/>
    <n v="35"/>
    <n v="39"/>
    <n v="39"/>
    <n v="16"/>
    <n v="5"/>
    <n v="30"/>
    <n v="3"/>
    <n v="28"/>
    <n v="38"/>
    <n v="16"/>
    <n v="31"/>
    <n v="26"/>
    <n v="44"/>
    <n v="39"/>
    <n v="9"/>
    <n v="5"/>
    <n v="37810"/>
    <n v="3992"/>
  </r>
  <r>
    <d v="2024-01-18T00:00:00"/>
    <x v="0"/>
    <n v="1"/>
    <n v="577"/>
    <n v="611"/>
    <n v="15"/>
    <n v="9"/>
    <n v="16"/>
    <n v="3"/>
    <n v="10"/>
    <n v="24"/>
    <n v="7"/>
    <n v="18"/>
    <n v="31"/>
    <n v="28"/>
    <n v="3"/>
    <n v="37"/>
    <n v="5"/>
    <n v="42"/>
    <n v="22"/>
    <n v="20"/>
    <n v="22"/>
    <n v="2"/>
    <n v="3"/>
    <n v="33"/>
    <n v="12"/>
    <n v="37"/>
    <n v="48"/>
    <n v="27"/>
    <n v="48"/>
    <n v="32"/>
    <n v="37"/>
    <n v="35"/>
    <n v="26"/>
    <n v="49"/>
    <n v="46"/>
    <n v="11"/>
    <n v="9"/>
    <n v="31"/>
    <n v="13"/>
    <n v="45"/>
    <n v="29"/>
    <n v="15"/>
    <n v="34"/>
    <n v="28"/>
    <n v="21"/>
    <n v="43"/>
    <n v="4"/>
    <n v="24"/>
    <n v="33"/>
    <n v="44"/>
    <n v="43"/>
    <n v="6"/>
    <n v="21"/>
    <n v="49"/>
    <n v="44"/>
    <n v="22"/>
    <n v="38361"/>
    <n v="4004"/>
  </r>
  <r>
    <d v="2024-01-19T00:00:00"/>
    <x v="0"/>
    <n v="1"/>
    <n v="579"/>
    <n v="612"/>
    <n v="12"/>
    <n v="32"/>
    <n v="10"/>
    <n v="17"/>
    <n v="47"/>
    <n v="26"/>
    <n v="25"/>
    <n v="3"/>
    <n v="1"/>
    <n v="30"/>
    <n v="48"/>
    <n v="10"/>
    <n v="11"/>
    <n v="6"/>
    <n v="22"/>
    <n v="17"/>
    <n v="11"/>
    <n v="30"/>
    <n v="49"/>
    <n v="19"/>
    <n v="44"/>
    <n v="2"/>
    <n v="1"/>
    <n v="35"/>
    <n v="47"/>
    <n v="13"/>
    <n v="19"/>
    <n v="17"/>
    <n v="13"/>
    <n v="39"/>
    <n v="17"/>
    <n v="16"/>
    <n v="23"/>
    <n v="22"/>
    <n v="2"/>
    <n v="6"/>
    <n v="31"/>
    <n v="30"/>
    <n v="15"/>
    <n v="45"/>
    <n v="47"/>
    <n v="29"/>
    <n v="4"/>
    <n v="37"/>
    <n v="49"/>
    <n v="4"/>
    <n v="20"/>
    <n v="40"/>
    <n v="1"/>
    <n v="31"/>
    <n v="38"/>
    <n v="4"/>
    <n v="38912"/>
    <n v="4016"/>
  </r>
  <r>
    <d v="2024-01-20T00:00:00"/>
    <x v="0"/>
    <n v="1"/>
    <n v="581"/>
    <n v="613"/>
    <n v="31"/>
    <n v="46"/>
    <n v="48"/>
    <n v="31"/>
    <n v="4"/>
    <n v="43"/>
    <n v="30"/>
    <n v="37"/>
    <n v="8"/>
    <n v="1"/>
    <n v="15"/>
    <n v="40"/>
    <n v="8"/>
    <n v="17"/>
    <n v="32"/>
    <n v="49"/>
    <n v="40"/>
    <n v="18"/>
    <n v="11"/>
    <n v="8"/>
    <n v="21"/>
    <n v="18"/>
    <n v="30"/>
    <n v="9"/>
    <n v="35"/>
    <n v="25"/>
    <n v="17"/>
    <n v="34"/>
    <n v="14"/>
    <n v="23"/>
    <n v="39"/>
    <n v="22"/>
    <n v="36"/>
    <n v="6"/>
    <n v="26"/>
    <n v="32"/>
    <n v="45"/>
    <n v="41"/>
    <n v="7"/>
    <n v="19"/>
    <n v="17"/>
    <n v="0"/>
    <n v="49"/>
    <n v="32"/>
    <n v="24"/>
    <n v="19"/>
    <n v="4"/>
    <n v="6"/>
    <n v="6"/>
    <n v="2"/>
    <n v="25"/>
    <n v="42"/>
    <n v="39463"/>
    <n v="4029"/>
  </r>
  <r>
    <d v="2024-01-21T00:00:00"/>
    <x v="0"/>
    <n v="1"/>
    <n v="582"/>
    <n v="613"/>
    <n v="37"/>
    <n v="8"/>
    <n v="18"/>
    <n v="28"/>
    <n v="6"/>
    <n v="18"/>
    <n v="0"/>
    <n v="0"/>
    <n v="16"/>
    <n v="40"/>
    <n v="27"/>
    <n v="8"/>
    <n v="41"/>
    <n v="16"/>
    <n v="27"/>
    <n v="9"/>
    <n v="36"/>
    <n v="39"/>
    <n v="9"/>
    <n v="23"/>
    <n v="8"/>
    <n v="40"/>
    <n v="45"/>
    <n v="5"/>
    <n v="4"/>
    <n v="29"/>
    <n v="46"/>
    <n v="9"/>
    <n v="47"/>
    <n v="27"/>
    <n v="28"/>
    <n v="47"/>
    <n v="21"/>
    <n v="15"/>
    <n v="43"/>
    <n v="25"/>
    <n v="44"/>
    <n v="46"/>
    <n v="21"/>
    <n v="27"/>
    <n v="49"/>
    <n v="17"/>
    <n v="27"/>
    <n v="24"/>
    <n v="20"/>
    <n v="16"/>
    <n v="35"/>
    <n v="13"/>
    <n v="17"/>
    <n v="49"/>
    <n v="20"/>
    <n v="24"/>
    <n v="40013"/>
    <n v="4041"/>
  </r>
  <r>
    <d v="2024-01-22T00:00:00"/>
    <x v="0"/>
    <n v="1"/>
    <n v="584"/>
    <n v="614"/>
    <n v="16"/>
    <n v="1"/>
    <n v="48"/>
    <n v="13"/>
    <n v="17"/>
    <n v="49"/>
    <n v="15"/>
    <n v="14"/>
    <n v="20"/>
    <n v="2"/>
    <n v="48"/>
    <n v="4"/>
    <n v="17"/>
    <n v="4"/>
    <n v="3"/>
    <n v="13"/>
    <n v="45"/>
    <n v="23"/>
    <n v="48"/>
    <n v="48"/>
    <n v="36"/>
    <n v="41"/>
    <n v="19"/>
    <n v="31"/>
    <n v="12"/>
    <n v="3"/>
    <n v="11"/>
    <n v="36"/>
    <n v="2"/>
    <n v="17"/>
    <n v="28"/>
    <n v="22"/>
    <n v="24"/>
    <n v="49"/>
    <n v="38"/>
    <n v="40"/>
    <n v="42"/>
    <n v="45"/>
    <n v="5"/>
    <n v="17"/>
    <n v="38"/>
    <n v="9"/>
    <n v="29"/>
    <n v="9"/>
    <n v="21"/>
    <n v="6"/>
    <n v="20"/>
    <n v="17"/>
    <n v="9"/>
    <n v="9"/>
    <n v="37"/>
    <n v="48"/>
    <n v="40564"/>
    <n v="4053"/>
  </r>
  <r>
    <d v="2024-01-23T00:00:00"/>
    <x v="0"/>
    <n v="1"/>
    <n v="586"/>
    <n v="615"/>
    <n v="21"/>
    <n v="0"/>
    <n v="17"/>
    <n v="35"/>
    <n v="1"/>
    <n v="21"/>
    <n v="48"/>
    <n v="16"/>
    <n v="41"/>
    <n v="12"/>
    <n v="25"/>
    <n v="12"/>
    <n v="47"/>
    <n v="45"/>
    <n v="3"/>
    <n v="3"/>
    <n v="36"/>
    <n v="21"/>
    <n v="2"/>
    <n v="4"/>
    <n v="34"/>
    <n v="3"/>
    <n v="16"/>
    <n v="6"/>
    <n v="48"/>
    <n v="37"/>
    <n v="45"/>
    <n v="20"/>
    <n v="24"/>
    <n v="8"/>
    <n v="24"/>
    <n v="11"/>
    <n v="12"/>
    <n v="43"/>
    <n v="28"/>
    <n v="1"/>
    <n v="19"/>
    <n v="49"/>
    <n v="34"/>
    <n v="19"/>
    <n v="17"/>
    <n v="2"/>
    <n v="5"/>
    <n v="34"/>
    <n v="33"/>
    <n v="34"/>
    <n v="3"/>
    <n v="45"/>
    <n v="3"/>
    <n v="40"/>
    <n v="19"/>
    <n v="44"/>
    <n v="41115"/>
    <n v="4065"/>
  </r>
  <r>
    <d v="2024-01-24T00:00:00"/>
    <x v="0"/>
    <n v="1"/>
    <n v="587"/>
    <n v="615"/>
    <n v="47"/>
    <n v="48"/>
    <n v="12"/>
    <n v="48"/>
    <n v="9"/>
    <n v="24"/>
    <n v="48"/>
    <n v="5"/>
    <n v="41"/>
    <n v="12"/>
    <n v="47"/>
    <n v="20"/>
    <n v="9"/>
    <n v="2"/>
    <n v="17"/>
    <n v="17"/>
    <n v="29"/>
    <n v="39"/>
    <n v="12"/>
    <n v="38"/>
    <n v="12"/>
    <n v="26"/>
    <n v="35"/>
    <n v="26"/>
    <n v="7"/>
    <n v="13"/>
    <n v="29"/>
    <n v="18"/>
    <n v="35"/>
    <n v="20"/>
    <n v="15"/>
    <n v="46"/>
    <n v="0"/>
    <n v="39"/>
    <n v="19"/>
    <n v="4"/>
    <n v="15"/>
    <n v="43"/>
    <n v="41"/>
    <n v="33"/>
    <n v="42"/>
    <n v="42"/>
    <n v="33"/>
    <n v="39"/>
    <n v="3"/>
    <n v="9"/>
    <n v="28"/>
    <n v="33"/>
    <n v="18"/>
    <n v="15"/>
    <n v="20"/>
    <n v="22"/>
    <n v="41665"/>
    <n v="4077"/>
  </r>
  <r>
    <d v="2024-01-25T00:00:00"/>
    <x v="0"/>
    <n v="1"/>
    <n v="589"/>
    <n v="616"/>
    <n v="8"/>
    <n v="18"/>
    <n v="42"/>
    <n v="32"/>
    <n v="32"/>
    <n v="37"/>
    <n v="47"/>
    <n v="22"/>
    <n v="28"/>
    <n v="30"/>
    <n v="14"/>
    <n v="42"/>
    <n v="31"/>
    <n v="31"/>
    <n v="24"/>
    <n v="10"/>
    <n v="33"/>
    <n v="48"/>
    <n v="12"/>
    <n v="28"/>
    <n v="22"/>
    <n v="28"/>
    <n v="0"/>
    <n v="45"/>
    <n v="30"/>
    <n v="26"/>
    <n v="47"/>
    <n v="1"/>
    <n v="10"/>
    <n v="3"/>
    <n v="11"/>
    <n v="17"/>
    <n v="36"/>
    <n v="7"/>
    <n v="35"/>
    <n v="35"/>
    <n v="0"/>
    <n v="38"/>
    <n v="20"/>
    <n v="24"/>
    <n v="9"/>
    <n v="44"/>
    <n v="35"/>
    <n v="37"/>
    <n v="35"/>
    <n v="19"/>
    <n v="38"/>
    <n v="7"/>
    <n v="43"/>
    <n v="19"/>
    <n v="45"/>
    <n v="44"/>
    <n v="42216"/>
    <n v="4089"/>
  </r>
  <r>
    <d v="2024-01-26T00:00:00"/>
    <x v="0"/>
    <n v="1"/>
    <n v="591"/>
    <n v="617"/>
    <n v="11"/>
    <n v="15"/>
    <n v="26"/>
    <n v="6"/>
    <n v="13"/>
    <n v="40"/>
    <n v="31"/>
    <n v="35"/>
    <n v="32"/>
    <n v="3"/>
    <n v="27"/>
    <n v="44"/>
    <n v="36"/>
    <n v="32"/>
    <n v="49"/>
    <n v="20"/>
    <n v="33"/>
    <n v="2"/>
    <n v="26"/>
    <n v="36"/>
    <n v="7"/>
    <n v="40"/>
    <n v="40"/>
    <n v="2"/>
    <n v="8"/>
    <n v="1"/>
    <n v="16"/>
    <n v="8"/>
    <n v="20"/>
    <n v="10"/>
    <n v="29"/>
    <n v="12"/>
    <n v="31"/>
    <n v="49"/>
    <n v="3"/>
    <n v="12"/>
    <n v="40"/>
    <n v="27"/>
    <n v="38"/>
    <n v="13"/>
    <n v="20"/>
    <n v="28"/>
    <n v="30"/>
    <n v="12"/>
    <n v="43"/>
    <n v="32"/>
    <n v="28"/>
    <n v="36"/>
    <n v="22"/>
    <n v="17"/>
    <n v="3"/>
    <n v="30"/>
    <n v="42767"/>
    <n v="4101"/>
  </r>
  <r>
    <d v="2024-01-27T00:00:00"/>
    <x v="0"/>
    <n v="1"/>
    <n v="592"/>
    <n v="617"/>
    <n v="45"/>
    <n v="10"/>
    <n v="10"/>
    <n v="29"/>
    <n v="6"/>
    <n v="6"/>
    <n v="8"/>
    <n v="34"/>
    <n v="46"/>
    <n v="20"/>
    <n v="48"/>
    <n v="27"/>
    <n v="48"/>
    <n v="38"/>
    <n v="4"/>
    <n v="7"/>
    <n v="38"/>
    <n v="9"/>
    <n v="9"/>
    <n v="5"/>
    <n v="24"/>
    <n v="40"/>
    <n v="26"/>
    <n v="8"/>
    <n v="12"/>
    <n v="16"/>
    <n v="17"/>
    <n v="33"/>
    <n v="12"/>
    <n v="6"/>
    <n v="2"/>
    <n v="46"/>
    <n v="37"/>
    <n v="13"/>
    <n v="37"/>
    <n v="37"/>
    <n v="22"/>
    <n v="11"/>
    <n v="0"/>
    <n v="18"/>
    <n v="41"/>
    <n v="40"/>
    <n v="21"/>
    <n v="1"/>
    <n v="11"/>
    <n v="21"/>
    <n v="40"/>
    <n v="32"/>
    <n v="23"/>
    <n v="20"/>
    <n v="18"/>
    <n v="36"/>
    <n v="43317"/>
    <n v="4113"/>
  </r>
  <r>
    <d v="2024-01-28T00:00:00"/>
    <x v="0"/>
    <n v="1"/>
    <n v="594"/>
    <n v="618"/>
    <n v="42"/>
    <n v="4"/>
    <n v="40"/>
    <n v="26"/>
    <n v="5"/>
    <n v="20"/>
    <n v="40"/>
    <n v="23"/>
    <n v="28"/>
    <n v="13"/>
    <n v="37"/>
    <n v="47"/>
    <n v="4"/>
    <n v="2"/>
    <n v="28"/>
    <n v="25"/>
    <n v="32"/>
    <n v="34"/>
    <n v="25"/>
    <n v="34"/>
    <n v="31"/>
    <n v="36"/>
    <n v="42"/>
    <n v="21"/>
    <n v="1"/>
    <n v="26"/>
    <n v="49"/>
    <n v="5"/>
    <n v="2"/>
    <n v="2"/>
    <n v="9"/>
    <n v="42"/>
    <n v="43"/>
    <n v="34"/>
    <n v="9"/>
    <n v="23"/>
    <n v="2"/>
    <n v="33"/>
    <n v="10"/>
    <n v="33"/>
    <n v="10"/>
    <n v="4"/>
    <n v="43"/>
    <n v="39"/>
    <n v="36"/>
    <n v="2"/>
    <n v="22"/>
    <n v="22"/>
    <n v="3"/>
    <n v="4"/>
    <n v="40"/>
    <n v="23"/>
    <n v="43868"/>
    <n v="4125"/>
  </r>
  <r>
    <d v="2024-01-29T00:00:00"/>
    <x v="0"/>
    <n v="1"/>
    <n v="596"/>
    <n v="619"/>
    <n v="35"/>
    <n v="10"/>
    <n v="35"/>
    <n v="23"/>
    <n v="0"/>
    <n v="19"/>
    <n v="10"/>
    <n v="32"/>
    <n v="27"/>
    <n v="34"/>
    <n v="5"/>
    <n v="19"/>
    <n v="28"/>
    <n v="14"/>
    <n v="41"/>
    <n v="43"/>
    <n v="34"/>
    <n v="47"/>
    <n v="6"/>
    <n v="19"/>
    <n v="18"/>
    <n v="35"/>
    <n v="10"/>
    <n v="25"/>
    <n v="42"/>
    <n v="26"/>
    <n v="25"/>
    <n v="41"/>
    <n v="21"/>
    <n v="46"/>
    <n v="28"/>
    <n v="13"/>
    <n v="20"/>
    <n v="23"/>
    <n v="40"/>
    <n v="10"/>
    <n v="22"/>
    <n v="1"/>
    <n v="29"/>
    <n v="37"/>
    <n v="21"/>
    <n v="22"/>
    <n v="27"/>
    <n v="49"/>
    <n v="21"/>
    <n v="24"/>
    <n v="6"/>
    <n v="30"/>
    <n v="8"/>
    <n v="43"/>
    <n v="47"/>
    <n v="47"/>
    <n v="44419"/>
    <n v="4137"/>
  </r>
  <r>
    <d v="2024-01-30T00:00:00"/>
    <x v="0"/>
    <n v="1"/>
    <n v="597"/>
    <n v="619"/>
    <n v="37"/>
    <n v="13"/>
    <n v="12"/>
    <n v="30"/>
    <n v="27"/>
    <n v="3"/>
    <n v="0"/>
    <n v="29"/>
    <n v="28"/>
    <n v="48"/>
    <n v="19"/>
    <n v="5"/>
    <n v="42"/>
    <n v="45"/>
    <n v="13"/>
    <n v="44"/>
    <n v="3"/>
    <n v="15"/>
    <n v="22"/>
    <n v="20"/>
    <n v="38"/>
    <n v="25"/>
    <n v="16"/>
    <n v="21"/>
    <n v="20"/>
    <n v="12"/>
    <n v="5"/>
    <n v="34"/>
    <n v="9"/>
    <n v="2"/>
    <n v="39"/>
    <n v="33"/>
    <n v="4"/>
    <n v="48"/>
    <n v="46"/>
    <n v="30"/>
    <n v="39"/>
    <n v="35"/>
    <n v="25"/>
    <n v="42"/>
    <n v="33"/>
    <n v="13"/>
    <n v="6"/>
    <n v="38"/>
    <n v="34"/>
    <n v="8"/>
    <n v="23"/>
    <n v="20"/>
    <n v="31"/>
    <n v="43"/>
    <n v="24"/>
    <n v="5"/>
    <n v="44969"/>
    <n v="4149"/>
  </r>
  <r>
    <d v="2024-01-31T00:00:00"/>
    <x v="0"/>
    <n v="1"/>
    <n v="599"/>
    <n v="620"/>
    <n v="47"/>
    <n v="13"/>
    <n v="1"/>
    <n v="4"/>
    <n v="44"/>
    <n v="30"/>
    <n v="3"/>
    <n v="34"/>
    <n v="18"/>
    <n v="14"/>
    <n v="9"/>
    <n v="19"/>
    <n v="36"/>
    <n v="10"/>
    <n v="10"/>
    <n v="24"/>
    <n v="46"/>
    <n v="41"/>
    <n v="35"/>
    <n v="11"/>
    <n v="21"/>
    <n v="33"/>
    <n v="22"/>
    <n v="33"/>
    <n v="5"/>
    <n v="5"/>
    <n v="2"/>
    <n v="18"/>
    <n v="8"/>
    <n v="22"/>
    <n v="35"/>
    <n v="11"/>
    <n v="33"/>
    <n v="33"/>
    <n v="32"/>
    <n v="42"/>
    <n v="37"/>
    <n v="36"/>
    <n v="38"/>
    <n v="40"/>
    <n v="16"/>
    <n v="0"/>
    <n v="30"/>
    <n v="1"/>
    <n v="3"/>
    <n v="22"/>
    <n v="49"/>
    <n v="36"/>
    <n v="38"/>
    <n v="36"/>
    <n v="41"/>
    <n v="49"/>
    <n v="45520"/>
    <n v="4161"/>
  </r>
  <r>
    <d v="2024-02-01T00:00:00"/>
    <x v="1"/>
    <n v="2"/>
    <n v="600"/>
    <n v="621"/>
    <n v="41"/>
    <n v="27"/>
    <n v="16"/>
    <n v="37"/>
    <n v="17"/>
    <n v="30"/>
    <n v="4"/>
    <n v="13"/>
    <n v="41"/>
    <n v="42"/>
    <n v="12"/>
    <n v="0"/>
    <n v="41"/>
    <n v="37"/>
    <n v="2"/>
    <n v="27"/>
    <n v="31"/>
    <n v="15"/>
    <n v="37"/>
    <n v="49"/>
    <n v="39"/>
    <n v="31"/>
    <n v="40"/>
    <n v="41"/>
    <n v="5"/>
    <n v="21"/>
    <n v="0"/>
    <n v="16"/>
    <n v="45"/>
    <n v="44"/>
    <n v="35"/>
    <n v="37"/>
    <n v="48"/>
    <n v="46"/>
    <n v="36"/>
    <n v="31"/>
    <n v="41"/>
    <n v="16"/>
    <n v="25"/>
    <n v="3"/>
    <n v="12"/>
    <n v="4"/>
    <n v="3"/>
    <n v="39"/>
    <n v="42"/>
    <n v="13"/>
    <n v="3"/>
    <n v="18"/>
    <n v="10"/>
    <n v="40"/>
    <n v="3"/>
    <n v="35"/>
    <n v="46071"/>
    <n v="4173"/>
  </r>
  <r>
    <d v="2024-02-02T00:00:00"/>
    <x v="1"/>
    <n v="2"/>
    <n v="602"/>
    <n v="621"/>
    <n v="14"/>
    <n v="11"/>
    <n v="41"/>
    <n v="35"/>
    <n v="35"/>
    <n v="46"/>
    <n v="11"/>
    <n v="17"/>
    <n v="1"/>
    <n v="26"/>
    <n v="46"/>
    <n v="8"/>
    <n v="48"/>
    <n v="8"/>
    <n v="18"/>
    <n v="8"/>
    <n v="34"/>
    <n v="22"/>
    <n v="44"/>
    <n v="10"/>
    <n v="7"/>
    <n v="31"/>
    <n v="31"/>
    <n v="25"/>
    <n v="39"/>
    <n v="23"/>
    <n v="31"/>
    <n v="39"/>
    <n v="23"/>
    <n v="3"/>
    <n v="35"/>
    <n v="35"/>
    <n v="17"/>
    <n v="26"/>
    <n v="6"/>
    <n v="45"/>
    <n v="14"/>
    <n v="7"/>
    <n v="23"/>
    <n v="45"/>
    <n v="9"/>
    <n v="34"/>
    <n v="47"/>
    <n v="42"/>
    <n v="46"/>
    <n v="25"/>
    <n v="31"/>
    <n v="29"/>
    <n v="12"/>
    <n v="19"/>
    <n v="40"/>
    <n v="25"/>
    <n v="46621"/>
    <n v="4185"/>
  </r>
  <r>
    <d v="2024-02-03T00:00:00"/>
    <x v="1"/>
    <n v="2"/>
    <n v="604"/>
    <n v="622"/>
    <n v="8"/>
    <n v="34"/>
    <n v="27"/>
    <n v="22"/>
    <n v="31"/>
    <n v="23"/>
    <n v="38"/>
    <n v="18"/>
    <n v="11"/>
    <n v="21"/>
    <n v="28"/>
    <n v="10"/>
    <n v="32"/>
    <n v="35"/>
    <n v="45"/>
    <n v="45"/>
    <n v="11"/>
    <n v="39"/>
    <n v="19"/>
    <n v="28"/>
    <n v="0"/>
    <n v="24"/>
    <n v="32"/>
    <n v="15"/>
    <n v="46"/>
    <n v="12"/>
    <n v="15"/>
    <n v="31"/>
    <n v="7"/>
    <n v="27"/>
    <n v="12"/>
    <n v="42"/>
    <n v="2"/>
    <n v="23"/>
    <n v="8"/>
    <n v="38"/>
    <n v="7"/>
    <n v="48"/>
    <n v="38"/>
    <n v="30"/>
    <n v="18"/>
    <n v="18"/>
    <n v="18"/>
    <n v="9"/>
    <n v="11"/>
    <n v="25"/>
    <n v="36"/>
    <n v="18"/>
    <n v="3"/>
    <n v="27"/>
    <n v="21"/>
    <n v="19"/>
    <n v="47172"/>
    <n v="4197"/>
  </r>
  <r>
    <d v="2024-02-04T00:00:00"/>
    <x v="1"/>
    <n v="2"/>
    <n v="605"/>
    <n v="623"/>
    <n v="35"/>
    <n v="27"/>
    <n v="38"/>
    <n v="41"/>
    <n v="48"/>
    <n v="37"/>
    <n v="18"/>
    <n v="1"/>
    <n v="0"/>
    <n v="5"/>
    <n v="19"/>
    <n v="34"/>
    <n v="41"/>
    <n v="4"/>
    <n v="46"/>
    <n v="34"/>
    <n v="4"/>
    <n v="11"/>
    <n v="29"/>
    <n v="25"/>
    <n v="17"/>
    <n v="22"/>
    <n v="18"/>
    <n v="49"/>
    <n v="5"/>
    <n v="48"/>
    <n v="16"/>
    <n v="22"/>
    <n v="20"/>
    <n v="14"/>
    <n v="17"/>
    <n v="6"/>
    <n v="12"/>
    <n v="11"/>
    <n v="10"/>
    <n v="12"/>
    <n v="28"/>
    <n v="42"/>
    <n v="3"/>
    <n v="12"/>
    <n v="49"/>
    <n v="11"/>
    <n v="1"/>
    <n v="9"/>
    <n v="27"/>
    <n v="7"/>
    <n v="49"/>
    <n v="12"/>
    <n v="47"/>
    <n v="16"/>
    <n v="45"/>
    <n v="28"/>
    <n v="47723"/>
    <n v="4209"/>
  </r>
  <r>
    <d v="2024-02-05T00:00:00"/>
    <x v="1"/>
    <n v="2"/>
    <n v="607"/>
    <n v="623"/>
    <n v="0"/>
    <n v="44"/>
    <n v="24"/>
    <n v="46"/>
    <n v="23"/>
    <n v="9"/>
    <n v="29"/>
    <n v="41"/>
    <n v="2"/>
    <n v="30"/>
    <n v="46"/>
    <n v="42"/>
    <n v="8"/>
    <n v="7"/>
    <n v="46"/>
    <n v="11"/>
    <n v="36"/>
    <n v="8"/>
    <n v="25"/>
    <n v="49"/>
    <n v="18"/>
    <n v="3"/>
    <n v="41"/>
    <n v="37"/>
    <n v="17"/>
    <n v="39"/>
    <n v="43"/>
    <n v="9"/>
    <n v="14"/>
    <n v="37"/>
    <n v="35"/>
    <n v="34"/>
    <n v="8"/>
    <n v="13"/>
    <n v="19"/>
    <n v="16"/>
    <n v="6"/>
    <n v="22"/>
    <n v="29"/>
    <n v="24"/>
    <n v="36"/>
    <n v="0"/>
    <n v="45"/>
    <n v="46"/>
    <n v="40"/>
    <n v="8"/>
    <n v="48"/>
    <n v="46"/>
    <n v="36"/>
    <n v="1"/>
    <n v="1"/>
    <n v="22"/>
    <n v="48273"/>
    <n v="4221"/>
  </r>
  <r>
    <d v="2024-02-06T00:00:00"/>
    <x v="1"/>
    <n v="2"/>
    <n v="609"/>
    <n v="624"/>
    <n v="27"/>
    <n v="19"/>
    <n v="20"/>
    <n v="6"/>
    <n v="12"/>
    <n v="6"/>
    <n v="38"/>
    <n v="27"/>
    <n v="41"/>
    <n v="16"/>
    <n v="3"/>
    <n v="6"/>
    <n v="22"/>
    <n v="19"/>
    <n v="37"/>
    <n v="28"/>
    <n v="33"/>
    <n v="13"/>
    <n v="38"/>
    <n v="47"/>
    <n v="0"/>
    <n v="37"/>
    <n v="27"/>
    <n v="13"/>
    <n v="23"/>
    <n v="18"/>
    <n v="48"/>
    <n v="44"/>
    <n v="48"/>
    <n v="31"/>
    <n v="13"/>
    <n v="2"/>
    <n v="30"/>
    <n v="4"/>
    <n v="42"/>
    <n v="16"/>
    <n v="21"/>
    <n v="18"/>
    <n v="49"/>
    <n v="41"/>
    <n v="5"/>
    <n v="39"/>
    <n v="35"/>
    <n v="39"/>
    <n v="48"/>
    <n v="7"/>
    <n v="18"/>
    <n v="49"/>
    <n v="46"/>
    <n v="18"/>
    <n v="24"/>
    <n v="7"/>
    <n v="48824"/>
    <n v="4233"/>
  </r>
  <r>
    <d v="2024-02-07T00:00:00"/>
    <x v="1"/>
    <n v="2"/>
    <n v="610"/>
    <n v="625"/>
    <n v="14"/>
    <n v="28"/>
    <n v="23"/>
    <n v="29"/>
    <n v="33"/>
    <n v="21"/>
    <n v="20"/>
    <n v="44"/>
    <n v="27"/>
    <n v="31"/>
    <n v="24"/>
    <n v="20"/>
    <n v="18"/>
    <n v="45"/>
    <n v="13"/>
    <n v="33"/>
    <n v="21"/>
    <n v="32"/>
    <n v="49"/>
    <n v="35"/>
    <n v="29"/>
    <n v="35"/>
    <n v="20"/>
    <n v="34"/>
    <n v="38"/>
    <n v="45"/>
    <n v="46"/>
    <n v="17"/>
    <n v="37"/>
    <n v="46"/>
    <n v="8"/>
    <n v="27"/>
    <n v="26"/>
    <n v="0"/>
    <n v="10"/>
    <n v="29"/>
    <n v="40"/>
    <n v="27"/>
    <n v="7"/>
    <n v="32"/>
    <n v="48"/>
    <n v="20"/>
    <n v="17"/>
    <n v="46"/>
    <n v="45"/>
    <n v="47"/>
    <n v="17"/>
    <n v="23"/>
    <n v="37"/>
    <n v="42"/>
    <n v="39"/>
    <n v="11"/>
    <n v="49375"/>
    <n v="4246"/>
  </r>
  <r>
    <d v="2024-02-08T00:00:00"/>
    <x v="1"/>
    <n v="2"/>
    <n v="612"/>
    <n v="626"/>
    <n v="6"/>
    <n v="47"/>
    <n v="23"/>
    <n v="1"/>
    <n v="35"/>
    <n v="45"/>
    <n v="43"/>
    <n v="24"/>
    <n v="4"/>
    <n v="14"/>
    <n v="7"/>
    <n v="40"/>
    <n v="48"/>
    <n v="19"/>
    <n v="47"/>
    <n v="27"/>
    <n v="33"/>
    <n v="2"/>
    <n v="45"/>
    <n v="20"/>
    <n v="8"/>
    <n v="42"/>
    <n v="7"/>
    <n v="27"/>
    <n v="27"/>
    <n v="8"/>
    <n v="41"/>
    <n v="38"/>
    <n v="15"/>
    <n v="22"/>
    <n v="3"/>
    <n v="27"/>
    <n v="28"/>
    <n v="48"/>
    <n v="43"/>
    <n v="23"/>
    <n v="16"/>
    <n v="43"/>
    <n v="43"/>
    <n v="29"/>
    <n v="1"/>
    <n v="21"/>
    <n v="47"/>
    <n v="13"/>
    <n v="5"/>
    <n v="23"/>
    <n v="5"/>
    <n v="48"/>
    <n v="5"/>
    <n v="32"/>
    <n v="19"/>
    <n v="11"/>
    <n v="49926"/>
    <n v="4258"/>
  </r>
  <r>
    <d v="2024-02-09T00:00:00"/>
    <x v="1"/>
    <n v="2"/>
    <n v="614"/>
    <n v="626"/>
    <n v="14"/>
    <n v="22"/>
    <n v="24"/>
    <n v="44"/>
    <n v="22"/>
    <n v="18"/>
    <n v="35"/>
    <n v="6"/>
    <n v="29"/>
    <n v="47"/>
    <n v="25"/>
    <n v="42"/>
    <n v="38"/>
    <n v="36"/>
    <n v="18"/>
    <n v="33"/>
    <n v="8"/>
    <n v="40"/>
    <n v="13"/>
    <n v="22"/>
    <n v="18"/>
    <n v="48"/>
    <n v="38"/>
    <n v="37"/>
    <n v="43"/>
    <n v="30"/>
    <n v="29"/>
    <n v="12"/>
    <n v="4"/>
    <n v="15"/>
    <n v="10"/>
    <n v="45"/>
    <n v="39"/>
    <n v="3"/>
    <n v="28"/>
    <n v="21"/>
    <n v="42"/>
    <n v="46"/>
    <n v="29"/>
    <n v="39"/>
    <n v="30"/>
    <n v="6"/>
    <n v="30"/>
    <n v="40"/>
    <n v="16"/>
    <n v="47"/>
    <n v="9"/>
    <n v="24"/>
    <n v="28"/>
    <n v="28"/>
    <n v="17"/>
    <n v="17"/>
    <n v="50476"/>
    <n v="4270"/>
  </r>
  <r>
    <d v="2024-02-10T00:00:00"/>
    <x v="1"/>
    <n v="2"/>
    <n v="615"/>
    <n v="627"/>
    <n v="41"/>
    <n v="48"/>
    <n v="24"/>
    <n v="23"/>
    <n v="29"/>
    <n v="13"/>
    <n v="41"/>
    <n v="19"/>
    <n v="36"/>
    <n v="29"/>
    <n v="18"/>
    <n v="23"/>
    <n v="23"/>
    <n v="21"/>
    <n v="36"/>
    <n v="35"/>
    <n v="31"/>
    <n v="14"/>
    <n v="14"/>
    <n v="14"/>
    <n v="29"/>
    <n v="32"/>
    <n v="28"/>
    <n v="29"/>
    <n v="16"/>
    <n v="35"/>
    <n v="9"/>
    <n v="47"/>
    <n v="35"/>
    <n v="32"/>
    <n v="42"/>
    <n v="35"/>
    <n v="28"/>
    <n v="11"/>
    <n v="13"/>
    <n v="10"/>
    <n v="10"/>
    <n v="28"/>
    <n v="33"/>
    <n v="5"/>
    <n v="48"/>
    <n v="25"/>
    <n v="8"/>
    <n v="29"/>
    <n v="1"/>
    <n v="36"/>
    <n v="41"/>
    <n v="15"/>
    <n v="41"/>
    <n v="4"/>
    <n v="33"/>
    <n v="13"/>
    <n v="51027"/>
    <n v="4282"/>
  </r>
  <r>
    <d v="2024-02-11T00:00:00"/>
    <x v="1"/>
    <n v="2"/>
    <n v="617"/>
    <n v="628"/>
    <n v="0"/>
    <n v="5"/>
    <n v="43"/>
    <n v="42"/>
    <n v="45"/>
    <n v="13"/>
    <n v="36"/>
    <n v="9"/>
    <n v="48"/>
    <n v="43"/>
    <n v="33"/>
    <n v="29"/>
    <n v="7"/>
    <n v="15"/>
    <n v="49"/>
    <n v="39"/>
    <n v="10"/>
    <n v="4"/>
    <n v="2"/>
    <n v="32"/>
    <n v="24"/>
    <n v="15"/>
    <n v="23"/>
    <n v="38"/>
    <n v="39"/>
    <n v="5"/>
    <n v="21"/>
    <n v="11"/>
    <n v="34"/>
    <n v="32"/>
    <n v="19"/>
    <n v="40"/>
    <n v="16"/>
    <n v="13"/>
    <n v="28"/>
    <n v="40"/>
    <n v="20"/>
    <n v="3"/>
    <n v="13"/>
    <n v="44"/>
    <n v="6"/>
    <n v="44"/>
    <n v="36"/>
    <n v="46"/>
    <n v="4"/>
    <n v="8"/>
    <n v="26"/>
    <n v="32"/>
    <n v="4"/>
    <n v="33"/>
    <n v="23"/>
    <n v="30"/>
    <n v="51578"/>
    <n v="4294"/>
  </r>
  <r>
    <d v="2024-02-12T00:00:00"/>
    <x v="1"/>
    <n v="2"/>
    <n v="619"/>
    <n v="628"/>
    <n v="28"/>
    <n v="12"/>
    <n v="14"/>
    <n v="18"/>
    <n v="6"/>
    <n v="0"/>
    <n v="19"/>
    <n v="20"/>
    <n v="15"/>
    <n v="9"/>
    <n v="28"/>
    <n v="20"/>
    <n v="7"/>
    <n v="0"/>
    <n v="20"/>
    <n v="3"/>
    <n v="1"/>
    <n v="43"/>
    <n v="30"/>
    <n v="32"/>
    <n v="41"/>
    <n v="24"/>
    <n v="36"/>
    <n v="13"/>
    <n v="19"/>
    <n v="44"/>
    <n v="1"/>
    <n v="5"/>
    <n v="35"/>
    <n v="1"/>
    <n v="19"/>
    <n v="38"/>
    <n v="8"/>
    <n v="44"/>
    <n v="16"/>
    <n v="6"/>
    <n v="20"/>
    <n v="34"/>
    <n v="13"/>
    <n v="42"/>
    <n v="8"/>
    <n v="27"/>
    <n v="45"/>
    <n v="3"/>
    <n v="32"/>
    <n v="15"/>
    <n v="24"/>
    <n v="27"/>
    <n v="17"/>
    <n v="30"/>
    <n v="37"/>
    <n v="13"/>
    <n v="52128"/>
    <n v="4306"/>
  </r>
  <r>
    <d v="2024-02-13T00:00:00"/>
    <x v="1"/>
    <n v="2"/>
    <n v="620"/>
    <n v="629"/>
    <n v="47"/>
    <n v="8"/>
    <n v="33"/>
    <n v="35"/>
    <n v="36"/>
    <n v="7"/>
    <n v="18"/>
    <n v="49"/>
    <n v="16"/>
    <n v="2"/>
    <n v="25"/>
    <n v="10"/>
    <n v="35"/>
    <n v="3"/>
    <n v="36"/>
    <n v="1"/>
    <n v="34"/>
    <n v="18"/>
    <n v="44"/>
    <n v="46"/>
    <n v="44"/>
    <n v="28"/>
    <n v="1"/>
    <n v="6"/>
    <n v="19"/>
    <n v="23"/>
    <n v="6"/>
    <n v="47"/>
    <n v="43"/>
    <n v="39"/>
    <n v="31"/>
    <n v="40"/>
    <n v="15"/>
    <n v="7"/>
    <n v="47"/>
    <n v="20"/>
    <n v="40"/>
    <n v="12"/>
    <n v="27"/>
    <n v="36"/>
    <n v="11"/>
    <n v="17"/>
    <n v="30"/>
    <n v="27"/>
    <n v="43"/>
    <n v="2"/>
    <n v="0"/>
    <n v="25"/>
    <n v="17"/>
    <n v="18"/>
    <n v="25"/>
    <n v="45"/>
    <n v="52679"/>
    <n v="4318"/>
  </r>
  <r>
    <d v="2024-02-14T00:00:00"/>
    <x v="1"/>
    <n v="2"/>
    <n v="622"/>
    <n v="630"/>
    <n v="22"/>
    <n v="44"/>
    <n v="22"/>
    <n v="5"/>
    <n v="32"/>
    <n v="12"/>
    <n v="36"/>
    <n v="39"/>
    <n v="15"/>
    <n v="44"/>
    <n v="19"/>
    <n v="34"/>
    <n v="30"/>
    <n v="26"/>
    <n v="10"/>
    <n v="14"/>
    <n v="5"/>
    <n v="21"/>
    <n v="23"/>
    <n v="28"/>
    <n v="8"/>
    <n v="1"/>
    <n v="24"/>
    <n v="30"/>
    <n v="9"/>
    <n v="6"/>
    <n v="45"/>
    <n v="45"/>
    <n v="41"/>
    <n v="26"/>
    <n v="28"/>
    <n v="32"/>
    <n v="41"/>
    <n v="33"/>
    <n v="42"/>
    <n v="37"/>
    <n v="39"/>
    <n v="6"/>
    <n v="4"/>
    <n v="11"/>
    <n v="37"/>
    <n v="38"/>
    <n v="22"/>
    <n v="42"/>
    <n v="44"/>
    <n v="24"/>
    <n v="10"/>
    <n v="30"/>
    <n v="45"/>
    <n v="41"/>
    <n v="9"/>
    <n v="44"/>
    <n v="53230"/>
    <n v="4330"/>
  </r>
  <r>
    <d v="2024-02-15T00:00:00"/>
    <x v="1"/>
    <n v="2"/>
    <n v="623"/>
    <n v="630"/>
    <n v="9"/>
    <n v="39"/>
    <n v="28"/>
    <n v="37"/>
    <n v="10"/>
    <n v="45"/>
    <n v="18"/>
    <n v="37"/>
    <n v="35"/>
    <n v="34"/>
    <n v="30"/>
    <n v="46"/>
    <n v="35"/>
    <n v="10"/>
    <n v="22"/>
    <n v="46"/>
    <n v="17"/>
    <n v="2"/>
    <n v="33"/>
    <n v="0"/>
    <n v="1"/>
    <n v="1"/>
    <n v="5"/>
    <n v="39"/>
    <n v="46"/>
    <n v="6"/>
    <n v="42"/>
    <n v="41"/>
    <n v="41"/>
    <n v="8"/>
    <n v="32"/>
    <n v="28"/>
    <n v="28"/>
    <n v="29"/>
    <n v="12"/>
    <n v="38"/>
    <n v="45"/>
    <n v="10"/>
    <n v="8"/>
    <n v="32"/>
    <n v="43"/>
    <n v="22"/>
    <n v="21"/>
    <n v="21"/>
    <n v="38"/>
    <n v="12"/>
    <n v="33"/>
    <n v="47"/>
    <n v="3"/>
    <n v="38"/>
    <n v="41"/>
    <n v="12"/>
    <n v="53780"/>
    <n v="4342"/>
  </r>
  <r>
    <d v="2024-02-16T00:00:00"/>
    <x v="1"/>
    <n v="2"/>
    <n v="625"/>
    <n v="631"/>
    <n v="3"/>
    <n v="25"/>
    <n v="23"/>
    <n v="37"/>
    <n v="19"/>
    <n v="40"/>
    <n v="27"/>
    <n v="19"/>
    <n v="49"/>
    <n v="2"/>
    <n v="36"/>
    <n v="10"/>
    <n v="7"/>
    <n v="9"/>
    <n v="37"/>
    <n v="16"/>
    <n v="4"/>
    <n v="42"/>
    <n v="39"/>
    <n v="16"/>
    <n v="43"/>
    <n v="13"/>
    <n v="0"/>
    <n v="22"/>
    <n v="16"/>
    <n v="36"/>
    <n v="44"/>
    <n v="22"/>
    <n v="5"/>
    <n v="19"/>
    <n v="25"/>
    <n v="25"/>
    <n v="13"/>
    <n v="35"/>
    <n v="45"/>
    <n v="13"/>
    <n v="2"/>
    <n v="11"/>
    <n v="47"/>
    <n v="28"/>
    <n v="17"/>
    <n v="48"/>
    <n v="46"/>
    <n v="46"/>
    <n v="17"/>
    <n v="39"/>
    <n v="45"/>
    <n v="10"/>
    <n v="47"/>
    <n v="13"/>
    <n v="9"/>
    <n v="2"/>
    <n v="54331"/>
    <n v="4354"/>
  </r>
  <r>
    <d v="2024-02-17T00:00:00"/>
    <x v="1"/>
    <n v="2"/>
    <n v="627"/>
    <n v="632"/>
    <n v="19"/>
    <n v="6"/>
    <n v="13"/>
    <n v="43"/>
    <n v="13"/>
    <n v="24"/>
    <n v="14"/>
    <n v="8"/>
    <n v="28"/>
    <n v="12"/>
    <n v="20"/>
    <n v="27"/>
    <n v="15"/>
    <n v="8"/>
    <n v="2"/>
    <n v="20"/>
    <n v="43"/>
    <n v="27"/>
    <n v="49"/>
    <n v="12"/>
    <n v="9"/>
    <n v="40"/>
    <n v="48"/>
    <n v="41"/>
    <n v="19"/>
    <n v="20"/>
    <n v="42"/>
    <n v="16"/>
    <n v="10"/>
    <n v="31"/>
    <n v="27"/>
    <n v="32"/>
    <n v="31"/>
    <n v="28"/>
    <n v="44"/>
    <n v="10"/>
    <n v="38"/>
    <n v="36"/>
    <n v="37"/>
    <n v="5"/>
    <n v="29"/>
    <n v="14"/>
    <n v="28"/>
    <n v="38"/>
    <n v="10"/>
    <n v="8"/>
    <n v="2"/>
    <n v="23"/>
    <n v="3"/>
    <n v="12"/>
    <n v="11"/>
    <n v="39"/>
    <n v="54882"/>
    <n v="4366"/>
  </r>
  <r>
    <d v="2024-02-18T00:00:00"/>
    <x v="1"/>
    <n v="2"/>
    <n v="628"/>
    <n v="632"/>
    <n v="9"/>
    <n v="32"/>
    <n v="16"/>
    <n v="25"/>
    <n v="4"/>
    <n v="40"/>
    <n v="4"/>
    <n v="24"/>
    <n v="21"/>
    <n v="26"/>
    <n v="35"/>
    <n v="5"/>
    <n v="4"/>
    <n v="18"/>
    <n v="7"/>
    <n v="43"/>
    <n v="24"/>
    <n v="29"/>
    <n v="42"/>
    <n v="11"/>
    <n v="26"/>
    <n v="14"/>
    <n v="2"/>
    <n v="33"/>
    <n v="40"/>
    <n v="0"/>
    <n v="47"/>
    <n v="44"/>
    <n v="15"/>
    <n v="0"/>
    <n v="13"/>
    <n v="25"/>
    <n v="15"/>
    <n v="4"/>
    <n v="47"/>
    <n v="31"/>
    <n v="49"/>
    <n v="28"/>
    <n v="13"/>
    <n v="21"/>
    <n v="29"/>
    <n v="25"/>
    <n v="2"/>
    <n v="49"/>
    <n v="19"/>
    <n v="21"/>
    <n v="36"/>
    <n v="5"/>
    <n v="25"/>
    <n v="47"/>
    <n v="14"/>
    <n v="23"/>
    <n v="55432"/>
    <n v="4378"/>
  </r>
  <r>
    <d v="2024-02-19T00:00:00"/>
    <x v="1"/>
    <n v="2"/>
    <n v="630"/>
    <n v="633"/>
    <n v="26"/>
    <n v="35"/>
    <n v="7"/>
    <n v="31"/>
    <n v="29"/>
    <n v="1"/>
    <n v="34"/>
    <n v="14"/>
    <n v="1"/>
    <n v="28"/>
    <n v="25"/>
    <n v="10"/>
    <n v="11"/>
    <n v="24"/>
    <n v="2"/>
    <n v="4"/>
    <n v="23"/>
    <n v="15"/>
    <n v="40"/>
    <n v="16"/>
    <n v="38"/>
    <n v="42"/>
    <n v="36"/>
    <n v="24"/>
    <n v="3"/>
    <n v="24"/>
    <n v="39"/>
    <n v="33"/>
    <n v="3"/>
    <n v="42"/>
    <n v="24"/>
    <n v="28"/>
    <n v="36"/>
    <n v="3"/>
    <n v="18"/>
    <n v="33"/>
    <n v="30"/>
    <n v="13"/>
    <n v="36"/>
    <n v="21"/>
    <n v="7"/>
    <n v="5"/>
    <n v="24"/>
    <n v="43"/>
    <n v="17"/>
    <n v="2"/>
    <n v="33"/>
    <n v="2"/>
    <n v="8"/>
    <n v="33"/>
    <n v="46"/>
    <n v="23"/>
    <n v="55983"/>
    <n v="4390"/>
  </r>
  <r>
    <d v="2024-02-20T00:00:00"/>
    <x v="1"/>
    <n v="2"/>
    <n v="632"/>
    <n v="634"/>
    <n v="0"/>
    <n v="42"/>
    <n v="11"/>
    <n v="20"/>
    <n v="29"/>
    <n v="21"/>
    <n v="40"/>
    <n v="37"/>
    <n v="17"/>
    <n v="23"/>
    <n v="7"/>
    <n v="11"/>
    <n v="5"/>
    <n v="30"/>
    <n v="14"/>
    <n v="2"/>
    <n v="14"/>
    <n v="40"/>
    <n v="16"/>
    <n v="31"/>
    <n v="7"/>
    <n v="42"/>
    <n v="40"/>
    <n v="18"/>
    <n v="36"/>
    <n v="27"/>
    <n v="3"/>
    <n v="47"/>
    <n v="1"/>
    <n v="1"/>
    <n v="35"/>
    <n v="12"/>
    <n v="28"/>
    <n v="8"/>
    <n v="42"/>
    <n v="47"/>
    <n v="26"/>
    <n v="32"/>
    <n v="32"/>
    <n v="24"/>
    <n v="9"/>
    <n v="48"/>
    <n v="9"/>
    <n v="47"/>
    <n v="3"/>
    <n v="40"/>
    <n v="26"/>
    <n v="9"/>
    <n v="41"/>
    <n v="48"/>
    <n v="25"/>
    <n v="35"/>
    <n v="56534"/>
    <n v="4402"/>
  </r>
  <r>
    <d v="2024-02-21T00:00:00"/>
    <x v="1"/>
    <n v="2"/>
    <n v="633"/>
    <n v="634"/>
    <n v="24"/>
    <n v="41"/>
    <n v="0"/>
    <n v="0"/>
    <n v="4"/>
    <n v="19"/>
    <n v="24"/>
    <n v="4"/>
    <n v="45"/>
    <n v="46"/>
    <n v="41"/>
    <n v="5"/>
    <n v="21"/>
    <n v="19"/>
    <n v="12"/>
    <n v="33"/>
    <n v="21"/>
    <n v="7"/>
    <n v="8"/>
    <n v="23"/>
    <n v="47"/>
    <n v="7"/>
    <n v="11"/>
    <n v="48"/>
    <n v="24"/>
    <n v="20"/>
    <n v="38"/>
    <n v="49"/>
    <n v="0"/>
    <n v="21"/>
    <n v="18"/>
    <n v="3"/>
    <n v="49"/>
    <n v="4"/>
    <n v="4"/>
    <n v="14"/>
    <n v="8"/>
    <n v="9"/>
    <n v="49"/>
    <n v="23"/>
    <n v="21"/>
    <n v="21"/>
    <n v="43"/>
    <n v="10"/>
    <n v="3"/>
    <n v="18"/>
    <n v="27"/>
    <n v="4"/>
    <n v="38"/>
    <n v="6"/>
    <n v="35"/>
    <n v="25"/>
    <n v="57084"/>
    <n v="4414"/>
  </r>
  <r>
    <d v="2024-02-22T00:00:00"/>
    <x v="1"/>
    <n v="2"/>
    <n v="635"/>
    <n v="635"/>
    <n v="28"/>
    <n v="47"/>
    <n v="1"/>
    <n v="24"/>
    <n v="24"/>
    <n v="28"/>
    <n v="46"/>
    <n v="0"/>
    <n v="7"/>
    <n v="43"/>
    <n v="18"/>
    <n v="28"/>
    <n v="15"/>
    <n v="39"/>
    <n v="42"/>
    <n v="37"/>
    <n v="43"/>
    <n v="39"/>
    <n v="12"/>
    <n v="27"/>
    <n v="33"/>
    <n v="27"/>
    <n v="25"/>
    <n v="43"/>
    <n v="36"/>
    <n v="25"/>
    <n v="27"/>
    <n v="38"/>
    <n v="49"/>
    <n v="13"/>
    <n v="36"/>
    <n v="9"/>
    <n v="13"/>
    <n v="5"/>
    <n v="20"/>
    <n v="43"/>
    <n v="13"/>
    <n v="43"/>
    <n v="19"/>
    <n v="34"/>
    <n v="10"/>
    <n v="20"/>
    <n v="22"/>
    <n v="20"/>
    <n v="44"/>
    <n v="14"/>
    <n v="34"/>
    <n v="13"/>
    <n v="42"/>
    <n v="24"/>
    <n v="39"/>
    <n v="19"/>
    <n v="57635"/>
    <n v="4426"/>
  </r>
  <r>
    <d v="2024-02-23T00:00:00"/>
    <x v="1"/>
    <n v="2"/>
    <n v="637"/>
    <n v="636"/>
    <n v="12"/>
    <n v="36"/>
    <n v="30"/>
    <n v="28"/>
    <n v="34"/>
    <n v="34"/>
    <n v="38"/>
    <n v="26"/>
    <n v="5"/>
    <n v="44"/>
    <n v="44"/>
    <n v="45"/>
    <n v="13"/>
    <n v="29"/>
    <n v="11"/>
    <n v="45"/>
    <n v="41"/>
    <n v="34"/>
    <n v="11"/>
    <n v="30"/>
    <n v="42"/>
    <n v="37"/>
    <n v="36"/>
    <n v="8"/>
    <n v="24"/>
    <n v="11"/>
    <n v="30"/>
    <n v="8"/>
    <n v="48"/>
    <n v="10"/>
    <n v="29"/>
    <n v="27"/>
    <n v="1"/>
    <n v="34"/>
    <n v="21"/>
    <n v="32"/>
    <n v="32"/>
    <n v="10"/>
    <n v="36"/>
    <n v="13"/>
    <n v="2"/>
    <n v="11"/>
    <n v="43"/>
    <n v="40"/>
    <n v="8"/>
    <n v="44"/>
    <n v="29"/>
    <n v="37"/>
    <n v="25"/>
    <n v="1"/>
    <n v="4"/>
    <n v="8"/>
    <n v="58186"/>
    <n v="4438"/>
  </r>
  <r>
    <d v="2024-02-24T00:00:00"/>
    <x v="1"/>
    <n v="2"/>
    <n v="638"/>
    <n v="636"/>
    <n v="46"/>
    <n v="19"/>
    <n v="40"/>
    <n v="24"/>
    <n v="5"/>
    <n v="25"/>
    <n v="47"/>
    <n v="4"/>
    <n v="47"/>
    <n v="20"/>
    <n v="44"/>
    <n v="25"/>
    <n v="3"/>
    <n v="18"/>
    <n v="22"/>
    <n v="26"/>
    <n v="46"/>
    <n v="9"/>
    <n v="19"/>
    <n v="42"/>
    <n v="23"/>
    <n v="13"/>
    <n v="43"/>
    <n v="33"/>
    <n v="40"/>
    <n v="7"/>
    <n v="31"/>
    <n v="44"/>
    <n v="6"/>
    <n v="19"/>
    <n v="12"/>
    <n v="44"/>
    <n v="6"/>
    <n v="47"/>
    <n v="35"/>
    <n v="30"/>
    <n v="15"/>
    <n v="29"/>
    <n v="31"/>
    <n v="40"/>
    <n v="12"/>
    <n v="48"/>
    <n v="39"/>
    <n v="10"/>
    <n v="20"/>
    <n v="40"/>
    <n v="38"/>
    <n v="47"/>
    <n v="39"/>
    <n v="22"/>
    <n v="33"/>
    <n v="35"/>
    <n v="58736"/>
    <n v="4450"/>
  </r>
  <r>
    <d v="2024-02-25T00:00:00"/>
    <x v="1"/>
    <n v="2"/>
    <n v="640"/>
    <n v="637"/>
    <n v="4"/>
    <n v="36"/>
    <n v="4"/>
    <n v="3"/>
    <n v="19"/>
    <n v="24"/>
    <n v="5"/>
    <n v="37"/>
    <n v="11"/>
    <n v="47"/>
    <n v="31"/>
    <n v="8"/>
    <n v="39"/>
    <n v="49"/>
    <n v="6"/>
    <n v="18"/>
    <n v="23"/>
    <n v="48"/>
    <n v="5"/>
    <n v="33"/>
    <n v="0"/>
    <n v="45"/>
    <n v="48"/>
    <n v="36"/>
    <n v="31"/>
    <n v="35"/>
    <n v="9"/>
    <n v="32"/>
    <n v="16"/>
    <n v="31"/>
    <n v="45"/>
    <n v="37"/>
    <n v="49"/>
    <n v="46"/>
    <n v="47"/>
    <n v="30"/>
    <n v="3"/>
    <n v="10"/>
    <n v="17"/>
    <n v="24"/>
    <n v="6"/>
    <n v="46"/>
    <n v="32"/>
    <n v="1"/>
    <n v="42"/>
    <n v="31"/>
    <n v="46"/>
    <n v="30"/>
    <n v="0"/>
    <n v="20"/>
    <n v="3"/>
    <n v="11"/>
    <n v="59287"/>
    <n v="4463"/>
  </r>
  <r>
    <d v="2024-02-26T00:00:00"/>
    <x v="1"/>
    <n v="2"/>
    <n v="642"/>
    <n v="638"/>
    <n v="41"/>
    <n v="48"/>
    <n v="48"/>
    <n v="19"/>
    <n v="3"/>
    <n v="6"/>
    <n v="14"/>
    <n v="40"/>
    <n v="35"/>
    <n v="0"/>
    <n v="25"/>
    <n v="1"/>
    <n v="24"/>
    <n v="38"/>
    <n v="46"/>
    <n v="30"/>
    <n v="28"/>
    <n v="40"/>
    <n v="26"/>
    <n v="38"/>
    <n v="8"/>
    <n v="49"/>
    <n v="37"/>
    <n v="31"/>
    <n v="43"/>
    <n v="25"/>
    <n v="4"/>
    <n v="13"/>
    <n v="26"/>
    <n v="40"/>
    <n v="44"/>
    <n v="28"/>
    <n v="6"/>
    <n v="10"/>
    <n v="5"/>
    <n v="10"/>
    <n v="17"/>
    <n v="41"/>
    <n v="35"/>
    <n v="13"/>
    <n v="26"/>
    <n v="21"/>
    <n v="29"/>
    <n v="1"/>
    <n v="11"/>
    <n v="1"/>
    <n v="14"/>
    <n v="34"/>
    <n v="31"/>
    <n v="18"/>
    <n v="15"/>
    <n v="6"/>
    <n v="59838"/>
    <n v="4475"/>
  </r>
  <r>
    <d v="2024-02-27T00:00:00"/>
    <x v="1"/>
    <n v="2"/>
    <n v="643"/>
    <n v="639"/>
    <n v="20"/>
    <n v="10"/>
    <n v="22"/>
    <n v="20"/>
    <n v="45"/>
    <n v="30"/>
    <n v="46"/>
    <n v="3"/>
    <n v="15"/>
    <n v="26"/>
    <n v="29"/>
    <n v="27"/>
    <n v="43"/>
    <n v="10"/>
    <n v="43"/>
    <n v="24"/>
    <n v="12"/>
    <n v="35"/>
    <n v="15"/>
    <n v="22"/>
    <n v="13"/>
    <n v="38"/>
    <n v="28"/>
    <n v="15"/>
    <n v="4"/>
    <n v="18"/>
    <n v="2"/>
    <n v="15"/>
    <n v="30"/>
    <n v="49"/>
    <n v="15"/>
    <n v="5"/>
    <n v="13"/>
    <n v="11"/>
    <n v="14"/>
    <n v="1"/>
    <n v="1"/>
    <n v="44"/>
    <n v="39"/>
    <n v="47"/>
    <n v="20"/>
    <n v="24"/>
    <n v="28"/>
    <n v="17"/>
    <n v="3"/>
    <n v="7"/>
    <n v="2"/>
    <n v="39"/>
    <n v="32"/>
    <n v="12"/>
    <n v="23"/>
    <n v="24"/>
    <n v="60389"/>
    <n v="4487"/>
  </r>
  <r>
    <d v="2024-02-28T00:00:00"/>
    <x v="1"/>
    <n v="2"/>
    <n v="645"/>
    <n v="639"/>
    <n v="18"/>
    <n v="6"/>
    <n v="47"/>
    <n v="31"/>
    <n v="0"/>
    <n v="45"/>
    <n v="35"/>
    <n v="3"/>
    <n v="8"/>
    <n v="46"/>
    <n v="23"/>
    <n v="19"/>
    <n v="23"/>
    <n v="17"/>
    <n v="31"/>
    <n v="18"/>
    <n v="45"/>
    <n v="45"/>
    <n v="26"/>
    <n v="46"/>
    <n v="1"/>
    <n v="48"/>
    <n v="26"/>
    <n v="13"/>
    <n v="21"/>
    <n v="29"/>
    <n v="21"/>
    <n v="25"/>
    <n v="31"/>
    <n v="38"/>
    <n v="25"/>
    <n v="44"/>
    <n v="11"/>
    <n v="11"/>
    <n v="4"/>
    <n v="15"/>
    <n v="36"/>
    <n v="34"/>
    <n v="47"/>
    <n v="33"/>
    <n v="1"/>
    <n v="18"/>
    <n v="31"/>
    <n v="38"/>
    <n v="43"/>
    <n v="43"/>
    <n v="47"/>
    <n v="31"/>
    <n v="16"/>
    <n v="38"/>
    <n v="43"/>
    <n v="29"/>
    <n v="60939"/>
    <n v="4499"/>
  </r>
  <r>
    <d v="2024-02-29T00:00:00"/>
    <x v="1"/>
    <n v="2"/>
    <n v="646"/>
    <n v="640"/>
    <n v="45"/>
    <n v="48"/>
    <n v="22"/>
    <n v="34"/>
    <n v="10"/>
    <n v="12"/>
    <n v="3"/>
    <n v="29"/>
    <n v="49"/>
    <n v="3"/>
    <n v="9"/>
    <n v="16"/>
    <n v="24"/>
    <n v="1"/>
    <n v="24"/>
    <n v="7"/>
    <n v="44"/>
    <n v="39"/>
    <n v="22"/>
    <n v="6"/>
    <n v="0"/>
    <n v="45"/>
    <n v="42"/>
    <n v="2"/>
    <n v="39"/>
    <n v="44"/>
    <n v="21"/>
    <n v="12"/>
    <n v="44"/>
    <n v="24"/>
    <n v="14"/>
    <n v="8"/>
    <n v="36"/>
    <n v="11"/>
    <n v="29"/>
    <n v="26"/>
    <n v="23"/>
    <n v="40"/>
    <n v="43"/>
    <n v="44"/>
    <n v="28"/>
    <n v="48"/>
    <n v="16"/>
    <n v="40"/>
    <n v="22"/>
    <n v="19"/>
    <n v="26"/>
    <n v="26"/>
    <n v="6"/>
    <n v="49"/>
    <n v="10"/>
    <n v="28"/>
    <n v="61490"/>
    <n v="4511"/>
  </r>
  <r>
    <d v="2024-03-01T00:00:00"/>
    <x v="2"/>
    <n v="3"/>
    <n v="648"/>
    <n v="641"/>
    <n v="38"/>
    <n v="32"/>
    <n v="3"/>
    <n v="42"/>
    <n v="34"/>
    <n v="4"/>
    <n v="19"/>
    <n v="40"/>
    <n v="40"/>
    <n v="37"/>
    <n v="33"/>
    <n v="25"/>
    <n v="29"/>
    <n v="0"/>
    <n v="19"/>
    <n v="8"/>
    <n v="44"/>
    <n v="30"/>
    <n v="43"/>
    <n v="1"/>
    <n v="14"/>
    <n v="38"/>
    <n v="2"/>
    <n v="38"/>
    <n v="21"/>
    <n v="36"/>
    <n v="41"/>
    <n v="24"/>
    <n v="3"/>
    <n v="13"/>
    <n v="0"/>
    <n v="4"/>
    <n v="49"/>
    <n v="25"/>
    <n v="42"/>
    <n v="5"/>
    <n v="45"/>
    <n v="19"/>
    <n v="3"/>
    <n v="37"/>
    <n v="38"/>
    <n v="34"/>
    <n v="49"/>
    <n v="11"/>
    <n v="16"/>
    <n v="2"/>
    <n v="48"/>
    <n v="39"/>
    <n v="28"/>
    <n v="18"/>
    <n v="1"/>
    <n v="5"/>
    <n v="62041"/>
    <n v="4523"/>
  </r>
  <r>
    <d v="2024-03-02T00:00:00"/>
    <x v="2"/>
    <n v="3"/>
    <n v="650"/>
    <n v="641"/>
    <n v="23"/>
    <n v="17"/>
    <n v="28"/>
    <n v="4"/>
    <n v="14"/>
    <n v="49"/>
    <n v="0"/>
    <n v="26"/>
    <n v="1"/>
    <n v="45"/>
    <n v="30"/>
    <n v="18"/>
    <n v="23"/>
    <n v="33"/>
    <n v="1"/>
    <n v="37"/>
    <n v="42"/>
    <n v="4"/>
    <n v="23"/>
    <n v="38"/>
    <n v="40"/>
    <n v="21"/>
    <n v="39"/>
    <n v="3"/>
    <n v="46"/>
    <n v="48"/>
    <n v="23"/>
    <n v="27"/>
    <n v="34"/>
    <n v="26"/>
    <n v="11"/>
    <n v="41"/>
    <n v="47"/>
    <n v="42"/>
    <n v="35"/>
    <n v="34"/>
    <n v="44"/>
    <n v="33"/>
    <n v="36"/>
    <n v="49"/>
    <n v="43"/>
    <n v="44"/>
    <n v="9"/>
    <n v="15"/>
    <n v="41"/>
    <n v="29"/>
    <n v="41"/>
    <n v="12"/>
    <n v="41"/>
    <n v="30"/>
    <n v="44"/>
    <n v="5"/>
    <n v="62591"/>
    <n v="4535"/>
  </r>
  <r>
    <d v="2024-03-03T00:00:00"/>
    <x v="2"/>
    <n v="3"/>
    <n v="651"/>
    <n v="642"/>
    <n v="8"/>
    <n v="33"/>
    <n v="49"/>
    <n v="36"/>
    <n v="33"/>
    <n v="29"/>
    <n v="43"/>
    <n v="6"/>
    <n v="46"/>
    <n v="23"/>
    <n v="0"/>
    <n v="12"/>
    <n v="45"/>
    <n v="14"/>
    <n v="33"/>
    <n v="1"/>
    <n v="38"/>
    <n v="48"/>
    <n v="10"/>
    <n v="4"/>
    <n v="44"/>
    <n v="15"/>
    <n v="45"/>
    <n v="45"/>
    <n v="24"/>
    <n v="20"/>
    <n v="36"/>
    <n v="27"/>
    <n v="9"/>
    <n v="22"/>
    <n v="8"/>
    <n v="41"/>
    <n v="11"/>
    <n v="36"/>
    <n v="15"/>
    <n v="47"/>
    <n v="37"/>
    <n v="37"/>
    <n v="25"/>
    <n v="48"/>
    <n v="48"/>
    <n v="45"/>
    <n v="0"/>
    <n v="48"/>
    <n v="40"/>
    <n v="32"/>
    <n v="36"/>
    <n v="36"/>
    <n v="28"/>
    <n v="32"/>
    <n v="18"/>
    <n v="7"/>
    <n v="63142"/>
    <n v="4547"/>
  </r>
  <r>
    <d v="2024-03-04T00:00:00"/>
    <x v="2"/>
    <n v="3"/>
    <n v="653"/>
    <n v="643"/>
    <n v="8"/>
    <n v="1"/>
    <n v="8"/>
    <n v="35"/>
    <n v="48"/>
    <n v="44"/>
    <n v="9"/>
    <n v="15"/>
    <n v="34"/>
    <n v="7"/>
    <n v="21"/>
    <n v="48"/>
    <n v="23"/>
    <n v="24"/>
    <n v="42"/>
    <n v="12"/>
    <n v="2"/>
    <n v="35"/>
    <n v="46"/>
    <n v="36"/>
    <n v="19"/>
    <n v="11"/>
    <n v="29"/>
    <n v="24"/>
    <n v="9"/>
    <n v="24"/>
    <n v="27"/>
    <n v="33"/>
    <n v="30"/>
    <n v="12"/>
    <n v="17"/>
    <n v="18"/>
    <n v="38"/>
    <n v="17"/>
    <n v="24"/>
    <n v="24"/>
    <n v="5"/>
    <n v="30"/>
    <n v="47"/>
    <n v="4"/>
    <n v="28"/>
    <n v="45"/>
    <n v="10"/>
    <n v="12"/>
    <n v="48"/>
    <n v="48"/>
    <n v="32"/>
    <n v="14"/>
    <n v="38"/>
    <n v="40"/>
    <n v="13"/>
    <n v="16"/>
    <n v="63693"/>
    <n v="4559"/>
  </r>
  <r>
    <d v="2024-03-05T00:00:00"/>
    <x v="2"/>
    <n v="3"/>
    <n v="655"/>
    <n v="643"/>
    <n v="14"/>
    <n v="28"/>
    <n v="18"/>
    <n v="1"/>
    <n v="1"/>
    <n v="5"/>
    <n v="49"/>
    <n v="32"/>
    <n v="13"/>
    <n v="1"/>
    <n v="36"/>
    <n v="1"/>
    <n v="27"/>
    <n v="23"/>
    <n v="40"/>
    <n v="2"/>
    <n v="36"/>
    <n v="15"/>
    <n v="25"/>
    <n v="47"/>
    <n v="33"/>
    <n v="21"/>
    <n v="44"/>
    <n v="13"/>
    <n v="37"/>
    <n v="20"/>
    <n v="10"/>
    <n v="38"/>
    <n v="38"/>
    <n v="14"/>
    <n v="1"/>
    <n v="2"/>
    <n v="25"/>
    <n v="43"/>
    <n v="5"/>
    <n v="13"/>
    <n v="9"/>
    <n v="2"/>
    <n v="18"/>
    <n v="37"/>
    <n v="45"/>
    <n v="27"/>
    <n v="12"/>
    <n v="8"/>
    <n v="13"/>
    <n v="44"/>
    <n v="11"/>
    <n v="25"/>
    <n v="0"/>
    <n v="5"/>
    <n v="4"/>
    <n v="45"/>
    <n v="64243"/>
    <n v="4571"/>
  </r>
  <r>
    <d v="2024-03-06T00:00:00"/>
    <x v="2"/>
    <n v="3"/>
    <n v="656"/>
    <n v="644"/>
    <n v="32"/>
    <n v="30"/>
    <n v="26"/>
    <n v="5"/>
    <n v="47"/>
    <n v="20"/>
    <n v="48"/>
    <n v="45"/>
    <n v="49"/>
    <n v="43"/>
    <n v="31"/>
    <n v="44"/>
    <n v="45"/>
    <n v="10"/>
    <n v="2"/>
    <n v="38"/>
    <n v="8"/>
    <n v="11"/>
    <n v="6"/>
    <n v="16"/>
    <n v="39"/>
    <n v="43"/>
    <n v="32"/>
    <n v="45"/>
    <n v="36"/>
    <n v="2"/>
    <n v="26"/>
    <n v="30"/>
    <n v="17"/>
    <n v="28"/>
    <n v="8"/>
    <n v="13"/>
    <n v="38"/>
    <n v="33"/>
    <n v="30"/>
    <n v="18"/>
    <n v="5"/>
    <n v="42"/>
    <n v="20"/>
    <n v="32"/>
    <n v="8"/>
    <n v="34"/>
    <n v="0"/>
    <n v="17"/>
    <n v="11"/>
    <n v="1"/>
    <n v="46"/>
    <n v="30"/>
    <n v="4"/>
    <n v="9"/>
    <n v="25"/>
    <n v="36"/>
    <n v="64794"/>
    <n v="4583"/>
  </r>
  <r>
    <d v="2024-03-07T00:00:00"/>
    <x v="2"/>
    <n v="3"/>
    <n v="658"/>
    <n v="645"/>
    <n v="37"/>
    <n v="33"/>
    <n v="34"/>
    <n v="10"/>
    <n v="48"/>
    <n v="30"/>
    <n v="40"/>
    <n v="40"/>
    <n v="21"/>
    <n v="35"/>
    <n v="30"/>
    <n v="40"/>
    <n v="16"/>
    <n v="44"/>
    <n v="24"/>
    <n v="44"/>
    <n v="21"/>
    <n v="21"/>
    <n v="27"/>
    <n v="32"/>
    <n v="37"/>
    <n v="41"/>
    <n v="40"/>
    <n v="29"/>
    <n v="3"/>
    <n v="30"/>
    <n v="23"/>
    <n v="17"/>
    <n v="41"/>
    <n v="13"/>
    <n v="22"/>
    <n v="13"/>
    <n v="36"/>
    <n v="29"/>
    <n v="13"/>
    <n v="15"/>
    <n v="32"/>
    <n v="46"/>
    <n v="14"/>
    <n v="48"/>
    <n v="32"/>
    <n v="11"/>
    <n v="17"/>
    <n v="20"/>
    <n v="26"/>
    <n v="49"/>
    <n v="29"/>
    <n v="29"/>
    <n v="11"/>
    <n v="19"/>
    <n v="4"/>
    <n v="49"/>
    <n v="65345"/>
    <n v="4595"/>
  </r>
  <r>
    <d v="2024-03-08T00:00:00"/>
    <x v="2"/>
    <n v="3"/>
    <n v="660"/>
    <n v="645"/>
    <n v="43"/>
    <n v="0"/>
    <n v="14"/>
    <n v="0"/>
    <n v="23"/>
    <n v="43"/>
    <n v="17"/>
    <n v="42"/>
    <n v="4"/>
    <n v="18"/>
    <n v="42"/>
    <n v="17"/>
    <n v="34"/>
    <n v="2"/>
    <n v="27"/>
    <n v="19"/>
    <n v="45"/>
    <n v="42"/>
    <n v="13"/>
    <n v="41"/>
    <n v="29"/>
    <n v="25"/>
    <n v="46"/>
    <n v="25"/>
    <n v="33"/>
    <n v="20"/>
    <n v="4"/>
    <n v="46"/>
    <n v="34"/>
    <n v="5"/>
    <n v="2"/>
    <n v="9"/>
    <n v="3"/>
    <n v="32"/>
    <n v="11"/>
    <n v="41"/>
    <n v="28"/>
    <n v="20"/>
    <n v="35"/>
    <n v="37"/>
    <n v="9"/>
    <n v="21"/>
    <n v="26"/>
    <n v="40"/>
    <n v="10"/>
    <n v="45"/>
    <n v="7"/>
    <n v="44"/>
    <n v="34"/>
    <n v="8"/>
    <n v="22"/>
    <n v="37"/>
    <n v="65895"/>
    <n v="4607"/>
  </r>
  <r>
    <d v="2024-03-09T00:00:00"/>
    <x v="2"/>
    <n v="3"/>
    <n v="661"/>
    <n v="646"/>
    <n v="11"/>
    <n v="17"/>
    <n v="8"/>
    <n v="37"/>
    <n v="6"/>
    <n v="30"/>
    <n v="28"/>
    <n v="47"/>
    <n v="24"/>
    <n v="44"/>
    <n v="47"/>
    <n v="4"/>
    <n v="43"/>
    <n v="47"/>
    <n v="17"/>
    <n v="42"/>
    <n v="15"/>
    <n v="47"/>
    <n v="26"/>
    <n v="23"/>
    <n v="39"/>
    <n v="3"/>
    <n v="38"/>
    <n v="23"/>
    <n v="22"/>
    <n v="5"/>
    <n v="10"/>
    <n v="15"/>
    <n v="46"/>
    <n v="11"/>
    <n v="24"/>
    <n v="0"/>
    <n v="11"/>
    <n v="37"/>
    <n v="25"/>
    <n v="18"/>
    <n v="15"/>
    <n v="28"/>
    <n v="0"/>
    <n v="42"/>
    <n v="0"/>
    <n v="20"/>
    <n v="8"/>
    <n v="32"/>
    <n v="14"/>
    <n v="19"/>
    <n v="38"/>
    <n v="22"/>
    <n v="49"/>
    <n v="43"/>
    <n v="43"/>
    <n v="18"/>
    <n v="66446"/>
    <n v="4619"/>
  </r>
  <r>
    <d v="2024-03-10T00:00:00"/>
    <x v="2"/>
    <n v="3"/>
    <n v="663"/>
    <n v="647"/>
    <n v="32"/>
    <n v="9"/>
    <n v="27"/>
    <n v="41"/>
    <n v="28"/>
    <n v="46"/>
    <n v="27"/>
    <n v="0"/>
    <n v="4"/>
    <n v="13"/>
    <n v="47"/>
    <n v="49"/>
    <n v="14"/>
    <n v="24"/>
    <n v="33"/>
    <n v="24"/>
    <n v="1"/>
    <n v="6"/>
    <n v="8"/>
    <n v="40"/>
    <n v="4"/>
    <n v="41"/>
    <n v="15"/>
    <n v="33"/>
    <n v="39"/>
    <n v="12"/>
    <n v="8"/>
    <n v="4"/>
    <n v="48"/>
    <n v="45"/>
    <n v="24"/>
    <n v="13"/>
    <n v="36"/>
    <n v="8"/>
    <n v="23"/>
    <n v="32"/>
    <n v="5"/>
    <n v="21"/>
    <n v="11"/>
    <n v="29"/>
    <n v="2"/>
    <n v="28"/>
    <n v="38"/>
    <n v="43"/>
    <n v="22"/>
    <n v="44"/>
    <n v="34"/>
    <n v="8"/>
    <n v="34"/>
    <n v="38"/>
    <n v="17"/>
    <n v="39"/>
    <n v="66997"/>
    <n v="4631"/>
  </r>
  <r>
    <d v="2024-03-11T00:00:00"/>
    <x v="2"/>
    <n v="3"/>
    <n v="665"/>
    <n v="647"/>
    <n v="33"/>
    <n v="5"/>
    <n v="28"/>
    <n v="6"/>
    <n v="22"/>
    <n v="39"/>
    <n v="49"/>
    <n v="8"/>
    <n v="45"/>
    <n v="38"/>
    <n v="21"/>
    <n v="34"/>
    <n v="43"/>
    <n v="36"/>
    <n v="16"/>
    <n v="38"/>
    <n v="44"/>
    <n v="21"/>
    <n v="1"/>
    <n v="36"/>
    <n v="45"/>
    <n v="49"/>
    <n v="25"/>
    <n v="25"/>
    <n v="6"/>
    <n v="17"/>
    <n v="16"/>
    <n v="41"/>
    <n v="23"/>
    <n v="16"/>
    <n v="26"/>
    <n v="44"/>
    <n v="21"/>
    <n v="10"/>
    <n v="15"/>
    <n v="45"/>
    <n v="44"/>
    <n v="34"/>
    <n v="14"/>
    <n v="38"/>
    <n v="25"/>
    <n v="48"/>
    <n v="8"/>
    <n v="46"/>
    <n v="19"/>
    <n v="20"/>
    <n v="44"/>
    <n v="27"/>
    <n v="31"/>
    <n v="4"/>
    <n v="7"/>
    <n v="22"/>
    <n v="67547"/>
    <n v="4643"/>
  </r>
  <r>
    <d v="2024-03-12T00:00:00"/>
    <x v="2"/>
    <n v="3"/>
    <n v="666"/>
    <n v="648"/>
    <n v="8"/>
    <n v="19"/>
    <n v="20"/>
    <n v="17"/>
    <n v="24"/>
    <n v="35"/>
    <n v="44"/>
    <n v="42"/>
    <n v="41"/>
    <n v="21"/>
    <n v="43"/>
    <n v="14"/>
    <n v="21"/>
    <n v="25"/>
    <n v="47"/>
    <n v="34"/>
    <n v="18"/>
    <n v="32"/>
    <n v="22"/>
    <n v="17"/>
    <n v="45"/>
    <n v="13"/>
    <n v="26"/>
    <n v="15"/>
    <n v="29"/>
    <n v="42"/>
    <n v="42"/>
    <n v="18"/>
    <n v="42"/>
    <n v="17"/>
    <n v="37"/>
    <n v="40"/>
    <n v="40"/>
    <n v="8"/>
    <n v="35"/>
    <n v="29"/>
    <n v="10"/>
    <n v="25"/>
    <n v="14"/>
    <n v="31"/>
    <n v="1"/>
    <n v="4"/>
    <n v="21"/>
    <n v="48"/>
    <n v="15"/>
    <n v="24"/>
    <n v="16"/>
    <n v="12"/>
    <n v="34"/>
    <n v="7"/>
    <n v="36"/>
    <n v="36"/>
    <n v="68098"/>
    <n v="4655"/>
  </r>
  <r>
    <d v="2024-03-13T00:00:00"/>
    <x v="2"/>
    <n v="3"/>
    <n v="668"/>
    <n v="649"/>
    <n v="37"/>
    <n v="40"/>
    <n v="35"/>
    <n v="41"/>
    <n v="19"/>
    <n v="4"/>
    <n v="35"/>
    <n v="35"/>
    <n v="7"/>
    <n v="14"/>
    <n v="7"/>
    <n v="26"/>
    <n v="3"/>
    <n v="46"/>
    <n v="9"/>
    <n v="36"/>
    <n v="35"/>
    <n v="29"/>
    <n v="49"/>
    <n v="22"/>
    <n v="23"/>
    <n v="30"/>
    <n v="48"/>
    <n v="33"/>
    <n v="21"/>
    <n v="4"/>
    <n v="17"/>
    <n v="30"/>
    <n v="24"/>
    <n v="18"/>
    <n v="35"/>
    <n v="15"/>
    <n v="40"/>
    <n v="18"/>
    <n v="11"/>
    <n v="26"/>
    <n v="23"/>
    <n v="1"/>
    <n v="49"/>
    <n v="39"/>
    <n v="7"/>
    <n v="30"/>
    <n v="7"/>
    <n v="30"/>
    <n v="44"/>
    <n v="30"/>
    <n v="34"/>
    <n v="27"/>
    <n v="10"/>
    <n v="8"/>
    <n v="34"/>
    <n v="22"/>
    <n v="68649"/>
    <n v="4667"/>
  </r>
  <r>
    <d v="2024-03-14T00:00:00"/>
    <x v="2"/>
    <n v="3"/>
    <n v="670"/>
    <n v="650"/>
    <n v="30"/>
    <n v="23"/>
    <n v="46"/>
    <n v="13"/>
    <n v="39"/>
    <n v="45"/>
    <n v="0"/>
    <n v="28"/>
    <n v="45"/>
    <n v="1"/>
    <n v="18"/>
    <n v="8"/>
    <n v="43"/>
    <n v="37"/>
    <n v="7"/>
    <n v="1"/>
    <n v="45"/>
    <n v="13"/>
    <n v="13"/>
    <n v="4"/>
    <n v="47"/>
    <n v="2"/>
    <n v="38"/>
    <n v="43"/>
    <n v="43"/>
    <n v="9"/>
    <n v="44"/>
    <n v="18"/>
    <n v="18"/>
    <n v="47"/>
    <n v="26"/>
    <n v="21"/>
    <n v="34"/>
    <n v="41"/>
    <n v="28"/>
    <n v="5"/>
    <n v="23"/>
    <n v="43"/>
    <n v="8"/>
    <n v="1"/>
    <n v="38"/>
    <n v="4"/>
    <n v="49"/>
    <n v="46"/>
    <n v="8"/>
    <n v="48"/>
    <n v="5"/>
    <n v="34"/>
    <n v="14"/>
    <n v="13"/>
    <n v="1"/>
    <n v="43"/>
    <n v="69200"/>
    <n v="4680"/>
  </r>
  <r>
    <d v="2024-03-15T00:00:00"/>
    <x v="2"/>
    <n v="3"/>
    <n v="671"/>
    <n v="650"/>
    <n v="40"/>
    <n v="26"/>
    <n v="35"/>
    <n v="33"/>
    <n v="24"/>
    <n v="48"/>
    <n v="9"/>
    <n v="8"/>
    <n v="36"/>
    <n v="22"/>
    <n v="32"/>
    <n v="19"/>
    <n v="49"/>
    <n v="2"/>
    <n v="22"/>
    <n v="37"/>
    <n v="40"/>
    <n v="1"/>
    <n v="1"/>
    <n v="10"/>
    <n v="7"/>
    <n v="45"/>
    <n v="41"/>
    <n v="34"/>
    <n v="22"/>
    <n v="3"/>
    <n v="35"/>
    <n v="24"/>
    <n v="30"/>
    <n v="40"/>
    <n v="8"/>
    <n v="0"/>
    <n v="47"/>
    <n v="19"/>
    <n v="31"/>
    <n v="12"/>
    <n v="9"/>
    <n v="25"/>
    <n v="5"/>
    <n v="30"/>
    <n v="37"/>
    <n v="9"/>
    <n v="31"/>
    <n v="3"/>
    <n v="33"/>
    <n v="17"/>
    <n v="18"/>
    <n v="10"/>
    <n v="0"/>
    <n v="39"/>
    <n v="18"/>
    <n v="33"/>
    <n v="69750"/>
    <n v="4692"/>
  </r>
  <r>
    <d v="2024-03-16T00:00:00"/>
    <x v="2"/>
    <n v="3"/>
    <n v="673"/>
    <n v="651"/>
    <n v="10"/>
    <n v="34"/>
    <n v="48"/>
    <n v="48"/>
    <n v="23"/>
    <n v="0"/>
    <n v="47"/>
    <n v="41"/>
    <n v="30"/>
    <n v="42"/>
    <n v="5"/>
    <n v="41"/>
    <n v="8"/>
    <n v="36"/>
    <n v="5"/>
    <n v="25"/>
    <n v="9"/>
    <n v="43"/>
    <n v="28"/>
    <n v="10"/>
    <n v="1"/>
    <n v="28"/>
    <n v="0"/>
    <n v="22"/>
    <n v="35"/>
    <n v="14"/>
    <n v="41"/>
    <n v="42"/>
    <n v="2"/>
    <n v="24"/>
    <n v="5"/>
    <n v="1"/>
    <n v="19"/>
    <n v="6"/>
    <n v="37"/>
    <n v="37"/>
    <n v="5"/>
    <n v="45"/>
    <n v="34"/>
    <n v="34"/>
    <n v="17"/>
    <n v="13"/>
    <n v="2"/>
    <n v="16"/>
    <n v="9"/>
    <n v="18"/>
    <n v="6"/>
    <n v="23"/>
    <n v="21"/>
    <n v="37"/>
    <n v="30"/>
    <n v="10"/>
    <n v="70301"/>
    <n v="4704"/>
  </r>
  <r>
    <d v="2024-03-17T00:00:00"/>
    <x v="2"/>
    <n v="3"/>
    <n v="674"/>
    <n v="652"/>
    <n v="1"/>
    <n v="15"/>
    <n v="11"/>
    <n v="8"/>
    <n v="8"/>
    <n v="14"/>
    <n v="35"/>
    <n v="22"/>
    <n v="14"/>
    <n v="25"/>
    <n v="8"/>
    <n v="14"/>
    <n v="21"/>
    <n v="27"/>
    <n v="35"/>
    <n v="27"/>
    <n v="28"/>
    <n v="42"/>
    <n v="9"/>
    <n v="48"/>
    <n v="0"/>
    <n v="40"/>
    <n v="39"/>
    <n v="34"/>
    <n v="49"/>
    <n v="39"/>
    <n v="8"/>
    <n v="39"/>
    <n v="47"/>
    <n v="43"/>
    <n v="47"/>
    <n v="2"/>
    <n v="19"/>
    <n v="49"/>
    <n v="28"/>
    <n v="40"/>
    <n v="30"/>
    <n v="3"/>
    <n v="8"/>
    <n v="45"/>
    <n v="27"/>
    <n v="43"/>
    <n v="29"/>
    <n v="45"/>
    <n v="40"/>
    <n v="23"/>
    <n v="37"/>
    <n v="13"/>
    <n v="4"/>
    <n v="33"/>
    <n v="47"/>
    <n v="34"/>
    <n v="70852"/>
    <n v="4716"/>
  </r>
  <r>
    <d v="2024-03-18T00:00:00"/>
    <x v="2"/>
    <n v="3"/>
    <n v="676"/>
    <n v="652"/>
    <n v="23"/>
    <n v="30"/>
    <n v="48"/>
    <n v="19"/>
    <n v="37"/>
    <n v="2"/>
    <n v="16"/>
    <n v="3"/>
    <n v="9"/>
    <n v="30"/>
    <n v="34"/>
    <n v="16"/>
    <n v="45"/>
    <n v="29"/>
    <n v="39"/>
    <n v="44"/>
    <n v="25"/>
    <n v="1"/>
    <n v="45"/>
    <n v="44"/>
    <n v="32"/>
    <n v="45"/>
    <n v="27"/>
    <n v="2"/>
    <n v="46"/>
    <n v="5"/>
    <n v="14"/>
    <n v="4"/>
    <n v="3"/>
    <n v="18"/>
    <n v="34"/>
    <n v="31"/>
    <n v="13"/>
    <n v="49"/>
    <n v="36"/>
    <n v="30"/>
    <n v="24"/>
    <n v="5"/>
    <n v="47"/>
    <n v="39"/>
    <n v="2"/>
    <n v="26"/>
    <n v="2"/>
    <n v="24"/>
    <n v="19"/>
    <n v="28"/>
    <n v="16"/>
    <n v="18"/>
    <n v="22"/>
    <n v="14"/>
    <n v="19"/>
    <n v="6"/>
    <n v="71402"/>
    <n v="4728"/>
  </r>
  <r>
    <d v="2024-03-19T00:00:00"/>
    <x v="2"/>
    <n v="3"/>
    <n v="678"/>
    <n v="653"/>
    <n v="41"/>
    <n v="24"/>
    <n v="4"/>
    <n v="49"/>
    <n v="38"/>
    <n v="22"/>
    <n v="25"/>
    <n v="40"/>
    <n v="23"/>
    <n v="30"/>
    <n v="5"/>
    <n v="47"/>
    <n v="8"/>
    <n v="13"/>
    <n v="14"/>
    <n v="32"/>
    <n v="44"/>
    <n v="3"/>
    <n v="15"/>
    <n v="15"/>
    <n v="21"/>
    <n v="46"/>
    <n v="48"/>
    <n v="36"/>
    <n v="2"/>
    <n v="16"/>
    <n v="22"/>
    <n v="17"/>
    <n v="41"/>
    <n v="32"/>
    <n v="25"/>
    <n v="17"/>
    <n v="41"/>
    <n v="26"/>
    <n v="5"/>
    <n v="2"/>
    <n v="27"/>
    <n v="19"/>
    <n v="15"/>
    <n v="36"/>
    <n v="25"/>
    <n v="18"/>
    <n v="43"/>
    <n v="47"/>
    <n v="41"/>
    <n v="35"/>
    <n v="41"/>
    <n v="39"/>
    <n v="33"/>
    <n v="0"/>
    <n v="21"/>
    <n v="18"/>
    <n v="71953"/>
    <n v="4740"/>
  </r>
  <r>
    <d v="2024-03-20T00:00:00"/>
    <x v="2"/>
    <n v="3"/>
    <n v="679"/>
    <n v="654"/>
    <n v="13"/>
    <n v="23"/>
    <n v="39"/>
    <n v="6"/>
    <n v="8"/>
    <n v="22"/>
    <n v="27"/>
    <n v="16"/>
    <n v="22"/>
    <n v="39"/>
    <n v="4"/>
    <n v="37"/>
    <n v="28"/>
    <n v="9"/>
    <n v="48"/>
    <n v="19"/>
    <n v="47"/>
    <n v="0"/>
    <n v="49"/>
    <n v="18"/>
    <n v="19"/>
    <n v="37"/>
    <n v="0"/>
    <n v="23"/>
    <n v="21"/>
    <n v="2"/>
    <n v="0"/>
    <n v="27"/>
    <n v="37"/>
    <n v="26"/>
    <n v="33"/>
    <n v="33"/>
    <n v="23"/>
    <n v="1"/>
    <n v="11"/>
    <n v="49"/>
    <n v="46"/>
    <n v="47"/>
    <n v="34"/>
    <n v="20"/>
    <n v="45"/>
    <n v="4"/>
    <n v="8"/>
    <n v="21"/>
    <n v="30"/>
    <n v="13"/>
    <n v="33"/>
    <n v="15"/>
    <n v="46"/>
    <n v="12"/>
    <n v="23"/>
    <n v="13"/>
    <n v="72504"/>
    <n v="4752"/>
  </r>
  <r>
    <d v="2024-03-21T00:00:00"/>
    <x v="2"/>
    <n v="3"/>
    <n v="681"/>
    <n v="654"/>
    <n v="33"/>
    <n v="31"/>
    <n v="12"/>
    <n v="4"/>
    <n v="42"/>
    <n v="22"/>
    <n v="2"/>
    <n v="26"/>
    <n v="26"/>
    <n v="0"/>
    <n v="20"/>
    <n v="11"/>
    <n v="33"/>
    <n v="11"/>
    <n v="30"/>
    <n v="20"/>
    <n v="23"/>
    <n v="38"/>
    <n v="44"/>
    <n v="36"/>
    <n v="23"/>
    <n v="36"/>
    <n v="46"/>
    <n v="35"/>
    <n v="15"/>
    <n v="43"/>
    <n v="14"/>
    <n v="16"/>
    <n v="37"/>
    <n v="35"/>
    <n v="20"/>
    <n v="46"/>
    <n v="34"/>
    <n v="7"/>
    <n v="16"/>
    <n v="44"/>
    <n v="15"/>
    <n v="26"/>
    <n v="5"/>
    <n v="36"/>
    <n v="40"/>
    <n v="15"/>
    <n v="20"/>
    <n v="13"/>
    <n v="40"/>
    <n v="11"/>
    <n v="24"/>
    <n v="17"/>
    <n v="49"/>
    <n v="0"/>
    <n v="44"/>
    <n v="4"/>
    <n v="73054"/>
    <n v="4764"/>
  </r>
  <r>
    <d v="2024-03-22T00:00:00"/>
    <x v="2"/>
    <n v="3"/>
    <n v="683"/>
    <n v="655"/>
    <n v="28"/>
    <n v="15"/>
    <n v="39"/>
    <n v="18"/>
    <n v="34"/>
    <n v="15"/>
    <n v="39"/>
    <n v="34"/>
    <n v="2"/>
    <n v="38"/>
    <n v="35"/>
    <n v="2"/>
    <n v="1"/>
    <n v="8"/>
    <n v="12"/>
    <n v="5"/>
    <n v="0"/>
    <n v="26"/>
    <n v="13"/>
    <n v="37"/>
    <n v="34"/>
    <n v="42"/>
    <n v="43"/>
    <n v="11"/>
    <n v="46"/>
    <n v="41"/>
    <n v="19"/>
    <n v="16"/>
    <n v="42"/>
    <n v="47"/>
    <n v="9"/>
    <n v="13"/>
    <n v="45"/>
    <n v="23"/>
    <n v="38"/>
    <n v="11"/>
    <n v="32"/>
    <n v="47"/>
    <n v="16"/>
    <n v="29"/>
    <n v="2"/>
    <n v="28"/>
    <n v="3"/>
    <n v="31"/>
    <n v="21"/>
    <n v="39"/>
    <n v="15"/>
    <n v="13"/>
    <n v="26"/>
    <n v="23"/>
    <n v="24"/>
    <n v="33"/>
    <n v="73605"/>
    <n v="4776"/>
  </r>
  <r>
    <d v="2024-03-23T00:00:00"/>
    <x v="2"/>
    <n v="3"/>
    <n v="684"/>
    <n v="656"/>
    <n v="41"/>
    <n v="31"/>
    <n v="39"/>
    <n v="13"/>
    <n v="32"/>
    <n v="48"/>
    <n v="33"/>
    <n v="10"/>
    <n v="30"/>
    <n v="13"/>
    <n v="49"/>
    <n v="33"/>
    <n v="41"/>
    <n v="10"/>
    <n v="4"/>
    <n v="18"/>
    <n v="48"/>
    <n v="4"/>
    <n v="16"/>
    <n v="9"/>
    <n v="29"/>
    <n v="39"/>
    <n v="11"/>
    <n v="38"/>
    <n v="21"/>
    <n v="5"/>
    <n v="8"/>
    <n v="17"/>
    <n v="7"/>
    <n v="32"/>
    <n v="37"/>
    <n v="24"/>
    <n v="2"/>
    <n v="0"/>
    <n v="37"/>
    <n v="31"/>
    <n v="32"/>
    <n v="25"/>
    <n v="41"/>
    <n v="17"/>
    <n v="21"/>
    <n v="4"/>
    <n v="2"/>
    <n v="42"/>
    <n v="36"/>
    <n v="20"/>
    <n v="8"/>
    <n v="36"/>
    <n v="0"/>
    <n v="42"/>
    <n v="23"/>
    <n v="44"/>
    <n v="74156"/>
    <n v="4788"/>
  </r>
  <r>
    <d v="2024-03-24T00:00:00"/>
    <x v="2"/>
    <n v="3"/>
    <n v="686"/>
    <n v="656"/>
    <n v="14"/>
    <n v="39"/>
    <n v="30"/>
    <n v="19"/>
    <n v="8"/>
    <n v="31"/>
    <n v="43"/>
    <n v="25"/>
    <n v="0"/>
    <n v="39"/>
    <n v="26"/>
    <n v="23"/>
    <n v="34"/>
    <n v="20"/>
    <n v="28"/>
    <n v="16"/>
    <n v="15"/>
    <n v="0"/>
    <n v="17"/>
    <n v="37"/>
    <n v="12"/>
    <n v="13"/>
    <n v="10"/>
    <n v="32"/>
    <n v="4"/>
    <n v="15"/>
    <n v="42"/>
    <n v="5"/>
    <n v="46"/>
    <n v="26"/>
    <n v="11"/>
    <n v="22"/>
    <n v="12"/>
    <n v="11"/>
    <n v="31"/>
    <n v="49"/>
    <n v="24"/>
    <n v="17"/>
    <n v="17"/>
    <n v="21"/>
    <n v="15"/>
    <n v="43"/>
    <n v="8"/>
    <n v="45"/>
    <n v="49"/>
    <n v="38"/>
    <n v="29"/>
    <n v="22"/>
    <n v="24"/>
    <n v="3"/>
    <n v="24"/>
    <n v="21"/>
    <n v="74706"/>
    <n v="4800"/>
  </r>
  <r>
    <d v="2024-03-25T00:00:00"/>
    <x v="2"/>
    <n v="3"/>
    <n v="688"/>
    <n v="657"/>
    <n v="11"/>
    <n v="0"/>
    <n v="43"/>
    <n v="44"/>
    <n v="23"/>
    <n v="12"/>
    <n v="4"/>
    <n v="37"/>
    <n v="8"/>
    <n v="19"/>
    <n v="48"/>
    <n v="28"/>
    <n v="36"/>
    <n v="31"/>
    <n v="10"/>
    <n v="23"/>
    <n v="41"/>
    <n v="2"/>
    <n v="43"/>
    <n v="43"/>
    <n v="27"/>
    <n v="32"/>
    <n v="38"/>
    <n v="10"/>
    <n v="38"/>
    <n v="18"/>
    <n v="20"/>
    <n v="27"/>
    <n v="49"/>
    <n v="11"/>
    <n v="7"/>
    <n v="24"/>
    <n v="25"/>
    <n v="45"/>
    <n v="25"/>
    <n v="30"/>
    <n v="45"/>
    <n v="30"/>
    <n v="10"/>
    <n v="20"/>
    <n v="12"/>
    <n v="15"/>
    <n v="11"/>
    <n v="44"/>
    <n v="31"/>
    <n v="39"/>
    <n v="14"/>
    <n v="23"/>
    <n v="8"/>
    <n v="48"/>
    <n v="27"/>
    <n v="48"/>
    <n v="75257"/>
    <n v="4812"/>
  </r>
  <r>
    <d v="2024-03-26T00:00:00"/>
    <x v="2"/>
    <n v="3"/>
    <n v="689"/>
    <n v="658"/>
    <n v="38"/>
    <n v="43"/>
    <n v="16"/>
    <n v="8"/>
    <n v="20"/>
    <n v="4"/>
    <n v="2"/>
    <n v="29"/>
    <n v="31"/>
    <n v="34"/>
    <n v="41"/>
    <n v="2"/>
    <n v="34"/>
    <n v="22"/>
    <n v="47"/>
    <n v="0"/>
    <n v="31"/>
    <n v="49"/>
    <n v="23"/>
    <n v="44"/>
    <n v="33"/>
    <n v="27"/>
    <n v="17"/>
    <n v="41"/>
    <n v="15"/>
    <n v="23"/>
    <n v="14"/>
    <n v="30"/>
    <n v="2"/>
    <n v="9"/>
    <n v="42"/>
    <n v="13"/>
    <n v="3"/>
    <n v="29"/>
    <n v="33"/>
    <n v="47"/>
    <n v="46"/>
    <n v="44"/>
    <n v="2"/>
    <n v="33"/>
    <n v="9"/>
    <n v="26"/>
    <n v="27"/>
    <n v="21"/>
    <n v="33"/>
    <n v="35"/>
    <n v="5"/>
    <n v="15"/>
    <n v="49"/>
    <n v="2"/>
    <n v="23"/>
    <n v="45"/>
    <n v="75808"/>
    <n v="4824"/>
  </r>
  <r>
    <d v="2024-03-27T00:00:00"/>
    <x v="2"/>
    <n v="3"/>
    <n v="691"/>
    <n v="658"/>
    <n v="14"/>
    <n v="27"/>
    <n v="35"/>
    <n v="8"/>
    <n v="43"/>
    <n v="14"/>
    <n v="1"/>
    <n v="1"/>
    <n v="27"/>
    <n v="22"/>
    <n v="21"/>
    <n v="6"/>
    <n v="38"/>
    <n v="13"/>
    <n v="9"/>
    <n v="3"/>
    <n v="15"/>
    <n v="18"/>
    <n v="23"/>
    <n v="1"/>
    <n v="30"/>
    <n v="18"/>
    <n v="10"/>
    <n v="43"/>
    <n v="30"/>
    <n v="21"/>
    <n v="34"/>
    <n v="32"/>
    <n v="3"/>
    <n v="19"/>
    <n v="12"/>
    <n v="36"/>
    <n v="25"/>
    <n v="6"/>
    <n v="11"/>
    <n v="23"/>
    <n v="21"/>
    <n v="39"/>
    <n v="45"/>
    <n v="38"/>
    <n v="15"/>
    <n v="43"/>
    <n v="14"/>
    <n v="16"/>
    <n v="47"/>
    <n v="43"/>
    <n v="20"/>
    <n v="18"/>
    <n v="49"/>
    <n v="28"/>
    <n v="24"/>
    <n v="30"/>
    <n v="76358"/>
    <n v="4836"/>
  </r>
  <r>
    <d v="2024-03-28T00:00:00"/>
    <x v="2"/>
    <n v="3"/>
    <n v="693"/>
    <n v="659"/>
    <n v="25"/>
    <n v="44"/>
    <n v="39"/>
    <n v="37"/>
    <n v="7"/>
    <n v="29"/>
    <n v="24"/>
    <n v="19"/>
    <n v="2"/>
    <n v="3"/>
    <n v="6"/>
    <n v="39"/>
    <n v="37"/>
    <n v="19"/>
    <n v="18"/>
    <n v="25"/>
    <n v="41"/>
    <n v="20"/>
    <n v="21"/>
    <n v="3"/>
    <n v="20"/>
    <n v="35"/>
    <n v="44"/>
    <n v="5"/>
    <n v="33"/>
    <n v="42"/>
    <n v="11"/>
    <n v="18"/>
    <n v="32"/>
    <n v="43"/>
    <n v="1"/>
    <n v="27"/>
    <n v="36"/>
    <n v="21"/>
    <n v="40"/>
    <n v="45"/>
    <n v="1"/>
    <n v="22"/>
    <n v="13"/>
    <n v="13"/>
    <n v="49"/>
    <n v="48"/>
    <n v="43"/>
    <n v="34"/>
    <n v="35"/>
    <n v="22"/>
    <n v="16"/>
    <n v="3"/>
    <n v="28"/>
    <n v="1"/>
    <n v="31"/>
    <n v="27"/>
    <n v="76909"/>
    <n v="4848"/>
  </r>
  <r>
    <d v="2024-03-29T00:00:00"/>
    <x v="2"/>
    <n v="3"/>
    <n v="694"/>
    <n v="660"/>
    <n v="29"/>
    <n v="5"/>
    <n v="36"/>
    <n v="21"/>
    <n v="29"/>
    <n v="37"/>
    <n v="30"/>
    <n v="5"/>
    <n v="7"/>
    <n v="38"/>
    <n v="24"/>
    <n v="16"/>
    <n v="33"/>
    <n v="23"/>
    <n v="32"/>
    <n v="32"/>
    <n v="29"/>
    <n v="29"/>
    <n v="34"/>
    <n v="17"/>
    <n v="31"/>
    <n v="13"/>
    <n v="13"/>
    <n v="0"/>
    <n v="33"/>
    <n v="31"/>
    <n v="36"/>
    <n v="47"/>
    <n v="29"/>
    <n v="29"/>
    <n v="47"/>
    <n v="12"/>
    <n v="22"/>
    <n v="4"/>
    <n v="11"/>
    <n v="1"/>
    <n v="20"/>
    <n v="40"/>
    <n v="44"/>
    <n v="2"/>
    <n v="36"/>
    <n v="8"/>
    <n v="20"/>
    <n v="25"/>
    <n v="19"/>
    <n v="11"/>
    <n v="12"/>
    <n v="5"/>
    <n v="34"/>
    <n v="27"/>
    <n v="1"/>
    <n v="34"/>
    <n v="77460"/>
    <n v="4860"/>
  </r>
  <r>
    <d v="2024-03-30T00:00:00"/>
    <x v="2"/>
    <n v="3"/>
    <n v="696"/>
    <n v="660"/>
    <n v="31"/>
    <n v="9"/>
    <n v="36"/>
    <n v="12"/>
    <n v="13"/>
    <n v="25"/>
    <n v="20"/>
    <n v="36"/>
    <n v="17"/>
    <n v="5"/>
    <n v="45"/>
    <n v="39"/>
    <n v="36"/>
    <n v="26"/>
    <n v="3"/>
    <n v="9"/>
    <n v="44"/>
    <n v="11"/>
    <n v="49"/>
    <n v="23"/>
    <n v="18"/>
    <n v="29"/>
    <n v="2"/>
    <n v="41"/>
    <n v="28"/>
    <n v="23"/>
    <n v="32"/>
    <n v="22"/>
    <n v="12"/>
    <n v="12"/>
    <n v="34"/>
    <n v="8"/>
    <n v="3"/>
    <n v="32"/>
    <n v="44"/>
    <n v="46"/>
    <n v="11"/>
    <n v="35"/>
    <n v="1"/>
    <n v="1"/>
    <n v="29"/>
    <n v="22"/>
    <n v="8"/>
    <n v="14"/>
    <n v="2"/>
    <n v="42"/>
    <n v="17"/>
    <n v="18"/>
    <n v="32"/>
    <n v="30"/>
    <n v="19"/>
    <n v="27"/>
    <n v="78010"/>
    <n v="4872"/>
  </r>
  <r>
    <d v="2024-03-31T00:00:00"/>
    <x v="2"/>
    <n v="3"/>
    <n v="697"/>
    <n v="661"/>
    <n v="42"/>
    <n v="38"/>
    <n v="29"/>
    <n v="42"/>
    <n v="41"/>
    <n v="40"/>
    <n v="11"/>
    <n v="19"/>
    <n v="29"/>
    <n v="41"/>
    <n v="28"/>
    <n v="39"/>
    <n v="33"/>
    <n v="5"/>
    <n v="19"/>
    <n v="21"/>
    <n v="21"/>
    <n v="31"/>
    <n v="42"/>
    <n v="8"/>
    <n v="8"/>
    <n v="22"/>
    <n v="12"/>
    <n v="29"/>
    <n v="18"/>
    <n v="48"/>
    <n v="31"/>
    <n v="24"/>
    <n v="33"/>
    <n v="2"/>
    <n v="1"/>
    <n v="27"/>
    <n v="20"/>
    <n v="29"/>
    <n v="4"/>
    <n v="43"/>
    <n v="17"/>
    <n v="30"/>
    <n v="24"/>
    <n v="26"/>
    <n v="36"/>
    <n v="29"/>
    <n v="20"/>
    <n v="11"/>
    <n v="7"/>
    <n v="49"/>
    <n v="5"/>
    <n v="39"/>
    <n v="23"/>
    <n v="44"/>
    <n v="14"/>
    <n v="22"/>
    <n v="78561"/>
    <n v="4884"/>
  </r>
  <r>
    <d v="2024-04-01T00:00:00"/>
    <x v="3"/>
    <n v="4"/>
    <n v="699"/>
    <n v="662"/>
    <n v="42"/>
    <n v="11"/>
    <n v="18"/>
    <n v="46"/>
    <n v="41"/>
    <n v="31"/>
    <n v="9"/>
    <n v="40"/>
    <n v="22"/>
    <n v="7"/>
    <n v="21"/>
    <n v="25"/>
    <n v="48"/>
    <n v="38"/>
    <n v="40"/>
    <n v="13"/>
    <n v="19"/>
    <n v="18"/>
    <n v="32"/>
    <n v="8"/>
    <n v="9"/>
    <n v="15"/>
    <n v="19"/>
    <n v="32"/>
    <n v="29"/>
    <n v="5"/>
    <n v="31"/>
    <n v="32"/>
    <n v="49"/>
    <n v="36"/>
    <n v="28"/>
    <n v="24"/>
    <n v="31"/>
    <n v="26"/>
    <n v="15"/>
    <n v="25"/>
    <n v="40"/>
    <n v="22"/>
    <n v="45"/>
    <n v="43"/>
    <n v="24"/>
    <n v="4"/>
    <n v="20"/>
    <n v="48"/>
    <n v="12"/>
    <n v="20"/>
    <n v="7"/>
    <n v="36"/>
    <n v="31"/>
    <n v="2"/>
    <n v="34"/>
    <n v="15"/>
    <n v="79112"/>
    <n v="4896"/>
  </r>
  <r>
    <d v="2024-04-02T00:00:00"/>
    <x v="3"/>
    <n v="4"/>
    <n v="701"/>
    <n v="663"/>
    <n v="19"/>
    <n v="27"/>
    <n v="5"/>
    <n v="22"/>
    <n v="12"/>
    <n v="37"/>
    <n v="25"/>
    <n v="22"/>
    <n v="41"/>
    <n v="10"/>
    <n v="10"/>
    <n v="48"/>
    <n v="8"/>
    <n v="23"/>
    <n v="23"/>
    <n v="34"/>
    <n v="39"/>
    <n v="25"/>
    <n v="13"/>
    <n v="49"/>
    <n v="39"/>
    <n v="10"/>
    <n v="48"/>
    <n v="12"/>
    <n v="35"/>
    <n v="26"/>
    <n v="3"/>
    <n v="46"/>
    <n v="4"/>
    <n v="29"/>
    <n v="25"/>
    <n v="22"/>
    <n v="30"/>
    <n v="19"/>
    <n v="6"/>
    <n v="21"/>
    <n v="34"/>
    <n v="48"/>
    <n v="27"/>
    <n v="12"/>
    <n v="46"/>
    <n v="41"/>
    <n v="49"/>
    <n v="21"/>
    <n v="33"/>
    <n v="45"/>
    <n v="31"/>
    <n v="18"/>
    <n v="12"/>
    <n v="46"/>
    <n v="45"/>
    <n v="39"/>
    <n v="79663"/>
    <n v="4909"/>
  </r>
  <r>
    <d v="2024-04-03T00:00:00"/>
    <x v="3"/>
    <n v="4"/>
    <n v="702"/>
    <n v="663"/>
    <n v="32"/>
    <n v="21"/>
    <n v="30"/>
    <n v="27"/>
    <n v="37"/>
    <n v="48"/>
    <n v="26"/>
    <n v="20"/>
    <n v="20"/>
    <n v="48"/>
    <n v="24"/>
    <n v="9"/>
    <n v="7"/>
    <n v="4"/>
    <n v="18"/>
    <n v="2"/>
    <n v="15"/>
    <n v="27"/>
    <n v="37"/>
    <n v="12"/>
    <n v="36"/>
    <n v="29"/>
    <n v="29"/>
    <n v="7"/>
    <n v="34"/>
    <n v="23"/>
    <n v="33"/>
    <n v="17"/>
    <n v="30"/>
    <n v="12"/>
    <n v="40"/>
    <n v="14"/>
    <n v="23"/>
    <n v="15"/>
    <n v="30"/>
    <n v="9"/>
    <n v="29"/>
    <n v="42"/>
    <n v="28"/>
    <n v="0"/>
    <n v="3"/>
    <n v="36"/>
    <n v="46"/>
    <n v="43"/>
    <n v="44"/>
    <n v="12"/>
    <n v="27"/>
    <n v="43"/>
    <n v="43"/>
    <n v="27"/>
    <n v="46"/>
    <n v="35"/>
    <n v="80213"/>
    <n v="4921"/>
  </r>
  <r>
    <d v="2024-04-04T00:00:00"/>
    <x v="3"/>
    <n v="4"/>
    <n v="704"/>
    <n v="664"/>
    <n v="30"/>
    <n v="10"/>
    <n v="15"/>
    <n v="4"/>
    <n v="12"/>
    <n v="19"/>
    <n v="25"/>
    <n v="6"/>
    <n v="21"/>
    <n v="30"/>
    <n v="1"/>
    <n v="24"/>
    <n v="12"/>
    <n v="42"/>
    <n v="2"/>
    <n v="49"/>
    <n v="7"/>
    <n v="14"/>
    <n v="3"/>
    <n v="23"/>
    <n v="10"/>
    <n v="36"/>
    <n v="44"/>
    <n v="29"/>
    <n v="20"/>
    <n v="49"/>
    <n v="9"/>
    <n v="0"/>
    <n v="24"/>
    <n v="25"/>
    <n v="42"/>
    <n v="25"/>
    <n v="49"/>
    <n v="9"/>
    <n v="39"/>
    <n v="36"/>
    <n v="2"/>
    <n v="39"/>
    <n v="13"/>
    <n v="44"/>
    <n v="49"/>
    <n v="17"/>
    <n v="8"/>
    <n v="5"/>
    <n v="37"/>
    <n v="6"/>
    <n v="23"/>
    <n v="44"/>
    <n v="3"/>
    <n v="22"/>
    <n v="24"/>
    <n v="13"/>
    <n v="80764"/>
    <n v="4933"/>
  </r>
  <r>
    <d v="2024-04-05T00:00:00"/>
    <x v="3"/>
    <n v="4"/>
    <n v="706"/>
    <n v="665"/>
    <n v="3"/>
    <n v="3"/>
    <n v="0"/>
    <n v="43"/>
    <n v="4"/>
    <n v="34"/>
    <n v="5"/>
    <n v="43"/>
    <n v="14"/>
    <n v="49"/>
    <n v="39"/>
    <n v="17"/>
    <n v="34"/>
    <n v="22"/>
    <n v="41"/>
    <n v="12"/>
    <n v="24"/>
    <n v="41"/>
    <n v="30"/>
    <n v="18"/>
    <n v="7"/>
    <n v="42"/>
    <n v="29"/>
    <n v="15"/>
    <n v="2"/>
    <n v="1"/>
    <n v="45"/>
    <n v="46"/>
    <n v="5"/>
    <n v="26"/>
    <n v="28"/>
    <n v="47"/>
    <n v="48"/>
    <n v="41"/>
    <n v="11"/>
    <n v="21"/>
    <n v="33"/>
    <n v="8"/>
    <n v="36"/>
    <n v="49"/>
    <n v="17"/>
    <n v="2"/>
    <n v="20"/>
    <n v="10"/>
    <n v="22"/>
    <n v="30"/>
    <n v="36"/>
    <n v="26"/>
    <n v="21"/>
    <n v="25"/>
    <n v="45"/>
    <n v="30"/>
    <n v="81315"/>
    <n v="4945"/>
  </r>
  <r>
    <d v="2024-04-06T00:00:00"/>
    <x v="3"/>
    <n v="4"/>
    <n v="707"/>
    <n v="665"/>
    <n v="27"/>
    <n v="1"/>
    <n v="17"/>
    <n v="39"/>
    <n v="8"/>
    <n v="32"/>
    <n v="35"/>
    <n v="48"/>
    <n v="10"/>
    <n v="47"/>
    <n v="11"/>
    <n v="26"/>
    <n v="30"/>
    <n v="44"/>
    <n v="1"/>
    <n v="47"/>
    <n v="17"/>
    <n v="0"/>
    <n v="42"/>
    <n v="11"/>
    <n v="26"/>
    <n v="14"/>
    <n v="16"/>
    <n v="28"/>
    <n v="11"/>
    <n v="19"/>
    <n v="4"/>
    <n v="20"/>
    <n v="6"/>
    <n v="47"/>
    <n v="44"/>
    <n v="40"/>
    <n v="17"/>
    <n v="26"/>
    <n v="48"/>
    <n v="17"/>
    <n v="19"/>
    <n v="12"/>
    <n v="27"/>
    <n v="14"/>
    <n v="23"/>
    <n v="39"/>
    <n v="42"/>
    <n v="4"/>
    <n v="16"/>
    <n v="25"/>
    <n v="7"/>
    <n v="16"/>
    <n v="32"/>
    <n v="21"/>
    <n v="3"/>
    <n v="35"/>
    <n v="81865"/>
    <n v="4957"/>
  </r>
  <r>
    <d v="2024-04-07T00:00:00"/>
    <x v="3"/>
    <n v="4"/>
    <n v="709"/>
    <n v="666"/>
    <n v="19"/>
    <n v="16"/>
    <n v="9"/>
    <n v="12"/>
    <n v="38"/>
    <n v="0"/>
    <n v="14"/>
    <n v="32"/>
    <n v="10"/>
    <n v="30"/>
    <n v="22"/>
    <n v="48"/>
    <n v="33"/>
    <n v="43"/>
    <n v="19"/>
    <n v="13"/>
    <n v="10"/>
    <n v="40"/>
    <n v="9"/>
    <n v="30"/>
    <n v="29"/>
    <n v="32"/>
    <n v="45"/>
    <n v="25"/>
    <n v="25"/>
    <n v="7"/>
    <n v="7"/>
    <n v="39"/>
    <n v="4"/>
    <n v="13"/>
    <n v="2"/>
    <n v="21"/>
    <n v="49"/>
    <n v="24"/>
    <n v="27"/>
    <n v="14"/>
    <n v="12"/>
    <n v="28"/>
    <n v="28"/>
    <n v="43"/>
    <n v="49"/>
    <n v="12"/>
    <n v="11"/>
    <n v="22"/>
    <n v="37"/>
    <n v="21"/>
    <n v="44"/>
    <n v="19"/>
    <n v="34"/>
    <n v="11"/>
    <n v="7"/>
    <n v="35"/>
    <n v="82416"/>
    <n v="4969"/>
  </r>
  <r>
    <d v="2024-04-08T00:00:00"/>
    <x v="3"/>
    <n v="4"/>
    <n v="711"/>
    <n v="667"/>
    <n v="49"/>
    <n v="38"/>
    <n v="28"/>
    <n v="21"/>
    <n v="4"/>
    <n v="22"/>
    <n v="15"/>
    <n v="35"/>
    <n v="22"/>
    <n v="25"/>
    <n v="10"/>
    <n v="12"/>
    <n v="20"/>
    <n v="41"/>
    <n v="15"/>
    <n v="46"/>
    <n v="6"/>
    <n v="42"/>
    <n v="16"/>
    <n v="17"/>
    <n v="10"/>
    <n v="36"/>
    <n v="24"/>
    <n v="40"/>
    <n v="47"/>
    <n v="8"/>
    <n v="21"/>
    <n v="17"/>
    <n v="49"/>
    <n v="10"/>
    <n v="6"/>
    <n v="3"/>
    <n v="4"/>
    <n v="7"/>
    <n v="11"/>
    <n v="30"/>
    <n v="40"/>
    <n v="17"/>
    <n v="6"/>
    <n v="29"/>
    <n v="9"/>
    <n v="23"/>
    <n v="7"/>
    <n v="46"/>
    <n v="31"/>
    <n v="29"/>
    <n v="21"/>
    <n v="8"/>
    <n v="3"/>
    <n v="33"/>
    <n v="10"/>
    <n v="14"/>
    <n v="82967"/>
    <n v="4981"/>
  </r>
  <r>
    <d v="2024-04-09T00:00:00"/>
    <x v="3"/>
    <n v="4"/>
    <n v="712"/>
    <n v="667"/>
    <n v="9"/>
    <n v="18"/>
    <n v="36"/>
    <n v="45"/>
    <n v="41"/>
    <n v="44"/>
    <n v="47"/>
    <n v="0"/>
    <n v="35"/>
    <n v="21"/>
    <n v="20"/>
    <n v="16"/>
    <n v="16"/>
    <n v="40"/>
    <n v="5"/>
    <n v="18"/>
    <n v="39"/>
    <n v="7"/>
    <n v="6"/>
    <n v="35"/>
    <n v="18"/>
    <n v="38"/>
    <n v="4"/>
    <n v="11"/>
    <n v="28"/>
    <n v="8"/>
    <n v="5"/>
    <n v="46"/>
    <n v="49"/>
    <n v="25"/>
    <n v="38"/>
    <n v="34"/>
    <n v="43"/>
    <n v="7"/>
    <n v="48"/>
    <n v="42"/>
    <n v="15"/>
    <n v="37"/>
    <n v="34"/>
    <n v="15"/>
    <n v="28"/>
    <n v="4"/>
    <n v="24"/>
    <n v="34"/>
    <n v="48"/>
    <n v="45"/>
    <n v="42"/>
    <n v="36"/>
    <n v="17"/>
    <n v="41"/>
    <n v="25"/>
    <n v="3"/>
    <n v="83517"/>
    <n v="4993"/>
  </r>
  <r>
    <d v="2024-04-10T00:00:00"/>
    <x v="3"/>
    <n v="4"/>
    <n v="714"/>
    <n v="668"/>
    <n v="40"/>
    <n v="22"/>
    <n v="46"/>
    <n v="47"/>
    <n v="18"/>
    <n v="30"/>
    <n v="0"/>
    <n v="46"/>
    <n v="22"/>
    <n v="29"/>
    <n v="15"/>
    <n v="13"/>
    <n v="27"/>
    <n v="41"/>
    <n v="45"/>
    <n v="30"/>
    <n v="21"/>
    <n v="11"/>
    <n v="16"/>
    <n v="42"/>
    <n v="47"/>
    <n v="18"/>
    <n v="40"/>
    <n v="4"/>
    <n v="43"/>
    <n v="25"/>
    <n v="42"/>
    <n v="39"/>
    <n v="35"/>
    <n v="48"/>
    <n v="45"/>
    <n v="33"/>
    <n v="25"/>
    <n v="45"/>
    <n v="38"/>
    <n v="0"/>
    <n v="47"/>
    <n v="0"/>
    <n v="33"/>
    <n v="13"/>
    <n v="16"/>
    <n v="4"/>
    <n v="0"/>
    <n v="38"/>
    <n v="7"/>
    <n v="28"/>
    <n v="44"/>
    <n v="15"/>
    <n v="12"/>
    <n v="40"/>
    <n v="17"/>
    <n v="25"/>
    <n v="84068"/>
    <n v="5005"/>
  </r>
  <r>
    <d v="2024-04-11T00:00:00"/>
    <x v="3"/>
    <n v="4"/>
    <n v="716"/>
    <n v="669"/>
    <n v="43"/>
    <n v="14"/>
    <n v="36"/>
    <n v="37"/>
    <n v="48"/>
    <n v="16"/>
    <n v="25"/>
    <n v="18"/>
    <n v="26"/>
    <n v="23"/>
    <n v="37"/>
    <n v="12"/>
    <n v="4"/>
    <n v="0"/>
    <n v="16"/>
    <n v="12"/>
    <n v="0"/>
    <n v="5"/>
    <n v="15"/>
    <n v="28"/>
    <n v="2"/>
    <n v="20"/>
    <n v="32"/>
    <n v="45"/>
    <n v="29"/>
    <n v="42"/>
    <n v="18"/>
    <n v="31"/>
    <n v="23"/>
    <n v="17"/>
    <n v="16"/>
    <n v="4"/>
    <n v="44"/>
    <n v="8"/>
    <n v="47"/>
    <n v="32"/>
    <n v="46"/>
    <n v="47"/>
    <n v="47"/>
    <n v="7"/>
    <n v="36"/>
    <n v="38"/>
    <n v="39"/>
    <n v="39"/>
    <n v="48"/>
    <n v="20"/>
    <n v="44"/>
    <n v="45"/>
    <n v="48"/>
    <n v="11"/>
    <n v="47"/>
    <n v="22"/>
    <n v="84619"/>
    <n v="5017"/>
  </r>
  <r>
    <d v="2024-04-12T00:00:00"/>
    <x v="3"/>
    <n v="4"/>
    <n v="717"/>
    <n v="669"/>
    <n v="18"/>
    <n v="13"/>
    <n v="27"/>
    <n v="12"/>
    <n v="8"/>
    <n v="16"/>
    <n v="11"/>
    <n v="42"/>
    <n v="20"/>
    <n v="13"/>
    <n v="38"/>
    <n v="4"/>
    <n v="15"/>
    <n v="23"/>
    <n v="34"/>
    <n v="5"/>
    <n v="41"/>
    <n v="41"/>
    <n v="41"/>
    <n v="21"/>
    <n v="13"/>
    <n v="48"/>
    <n v="12"/>
    <n v="35"/>
    <n v="48"/>
    <n v="14"/>
    <n v="26"/>
    <n v="16"/>
    <n v="21"/>
    <n v="48"/>
    <n v="15"/>
    <n v="9"/>
    <n v="44"/>
    <n v="15"/>
    <n v="21"/>
    <n v="2"/>
    <n v="33"/>
    <n v="15"/>
    <n v="4"/>
    <n v="17"/>
    <n v="48"/>
    <n v="30"/>
    <n v="3"/>
    <n v="33"/>
    <n v="44"/>
    <n v="29"/>
    <n v="15"/>
    <n v="31"/>
    <n v="17"/>
    <n v="23"/>
    <n v="17"/>
    <n v="18"/>
    <n v="85169"/>
    <n v="5029"/>
  </r>
  <r>
    <d v="2024-04-13T00:00:00"/>
    <x v="3"/>
    <n v="4"/>
    <n v="719"/>
    <n v="670"/>
    <n v="42"/>
    <n v="2"/>
    <n v="4"/>
    <n v="3"/>
    <n v="19"/>
    <n v="27"/>
    <n v="45"/>
    <n v="23"/>
    <n v="0"/>
    <n v="3"/>
    <n v="7"/>
    <n v="19"/>
    <n v="45"/>
    <n v="3"/>
    <n v="25"/>
    <n v="15"/>
    <n v="21"/>
    <n v="31"/>
    <n v="11"/>
    <n v="45"/>
    <n v="36"/>
    <n v="14"/>
    <n v="31"/>
    <n v="21"/>
    <n v="37"/>
    <n v="26"/>
    <n v="1"/>
    <n v="45"/>
    <n v="2"/>
    <n v="31"/>
    <n v="44"/>
    <n v="23"/>
    <n v="47"/>
    <n v="47"/>
    <n v="15"/>
    <n v="15"/>
    <n v="19"/>
    <n v="31"/>
    <n v="46"/>
    <n v="49"/>
    <n v="4"/>
    <n v="17"/>
    <n v="8"/>
    <n v="35"/>
    <n v="9"/>
    <n v="3"/>
    <n v="40"/>
    <n v="13"/>
    <n v="36"/>
    <n v="23"/>
    <n v="8"/>
    <n v="24"/>
    <n v="85720"/>
    <n v="5041"/>
  </r>
  <r>
    <d v="2024-04-14T00:00:00"/>
    <x v="3"/>
    <n v="4"/>
    <n v="720"/>
    <n v="671"/>
    <n v="49"/>
    <n v="39"/>
    <n v="10"/>
    <n v="44"/>
    <n v="23"/>
    <n v="16"/>
    <n v="9"/>
    <n v="34"/>
    <n v="1"/>
    <n v="48"/>
    <n v="49"/>
    <n v="19"/>
    <n v="5"/>
    <n v="31"/>
    <n v="43"/>
    <n v="6"/>
    <n v="47"/>
    <n v="47"/>
    <n v="32"/>
    <n v="26"/>
    <n v="24"/>
    <n v="8"/>
    <n v="12"/>
    <n v="4"/>
    <n v="35"/>
    <n v="48"/>
    <n v="6"/>
    <n v="7"/>
    <n v="49"/>
    <n v="42"/>
    <n v="12"/>
    <n v="9"/>
    <n v="26"/>
    <n v="15"/>
    <n v="42"/>
    <n v="33"/>
    <n v="19"/>
    <n v="8"/>
    <n v="26"/>
    <n v="47"/>
    <n v="7"/>
    <n v="2"/>
    <n v="47"/>
    <n v="45"/>
    <n v="39"/>
    <n v="6"/>
    <n v="39"/>
    <n v="3"/>
    <n v="23"/>
    <n v="47"/>
    <n v="25"/>
    <n v="39"/>
    <n v="86271"/>
    <n v="5053"/>
  </r>
  <r>
    <d v="2024-04-15T00:00:00"/>
    <x v="3"/>
    <n v="4"/>
    <n v="722"/>
    <n v="671"/>
    <n v="16"/>
    <n v="15"/>
    <n v="38"/>
    <n v="12"/>
    <n v="0"/>
    <n v="46"/>
    <n v="28"/>
    <n v="40"/>
    <n v="30"/>
    <n v="42"/>
    <n v="8"/>
    <n v="22"/>
    <n v="26"/>
    <n v="36"/>
    <n v="41"/>
    <n v="3"/>
    <n v="22"/>
    <n v="22"/>
    <n v="23"/>
    <n v="33"/>
    <n v="48"/>
    <n v="17"/>
    <n v="45"/>
    <n v="47"/>
    <n v="49"/>
    <n v="39"/>
    <n v="12"/>
    <n v="14"/>
    <n v="7"/>
    <n v="48"/>
    <n v="27"/>
    <n v="46"/>
    <n v="5"/>
    <n v="25"/>
    <n v="12"/>
    <n v="20"/>
    <n v="26"/>
    <n v="39"/>
    <n v="39"/>
    <n v="4"/>
    <n v="39"/>
    <n v="28"/>
    <n v="22"/>
    <n v="23"/>
    <n v="31"/>
    <n v="10"/>
    <n v="1"/>
    <n v="17"/>
    <n v="29"/>
    <n v="38"/>
    <n v="13"/>
    <n v="31"/>
    <n v="86821"/>
    <n v="5065"/>
  </r>
  <r>
    <d v="2024-04-16T00:00:00"/>
    <x v="3"/>
    <n v="4"/>
    <n v="724"/>
    <n v="672"/>
    <n v="4"/>
    <n v="5"/>
    <n v="35"/>
    <n v="33"/>
    <n v="33"/>
    <n v="15"/>
    <n v="33"/>
    <n v="44"/>
    <n v="14"/>
    <n v="34"/>
    <n v="13"/>
    <n v="31"/>
    <n v="27"/>
    <n v="41"/>
    <n v="37"/>
    <n v="26"/>
    <n v="31"/>
    <n v="20"/>
    <n v="10"/>
    <n v="40"/>
    <n v="13"/>
    <n v="9"/>
    <n v="8"/>
    <n v="34"/>
    <n v="35"/>
    <n v="11"/>
    <n v="37"/>
    <n v="1"/>
    <n v="44"/>
    <n v="19"/>
    <n v="15"/>
    <n v="42"/>
    <n v="24"/>
    <n v="43"/>
    <n v="22"/>
    <n v="17"/>
    <n v="32"/>
    <n v="15"/>
    <n v="39"/>
    <n v="43"/>
    <n v="37"/>
    <n v="30"/>
    <n v="23"/>
    <n v="0"/>
    <n v="21"/>
    <n v="16"/>
    <n v="40"/>
    <n v="4"/>
    <n v="17"/>
    <n v="49"/>
    <n v="23"/>
    <n v="17"/>
    <n v="87372"/>
    <n v="5077"/>
  </r>
  <r>
    <d v="2024-04-17T00:00:00"/>
    <x v="3"/>
    <n v="4"/>
    <n v="725"/>
    <n v="673"/>
    <n v="17"/>
    <n v="17"/>
    <n v="14"/>
    <n v="35"/>
    <n v="12"/>
    <n v="42"/>
    <n v="39"/>
    <n v="9"/>
    <n v="10"/>
    <n v="0"/>
    <n v="2"/>
    <n v="36"/>
    <n v="0"/>
    <n v="38"/>
    <n v="31"/>
    <n v="48"/>
    <n v="34"/>
    <n v="15"/>
    <n v="5"/>
    <n v="7"/>
    <n v="36"/>
    <n v="8"/>
    <n v="20"/>
    <n v="47"/>
    <n v="29"/>
    <n v="32"/>
    <n v="44"/>
    <n v="28"/>
    <n v="11"/>
    <n v="36"/>
    <n v="28"/>
    <n v="22"/>
    <n v="26"/>
    <n v="8"/>
    <n v="29"/>
    <n v="9"/>
    <n v="18"/>
    <n v="31"/>
    <n v="30"/>
    <n v="44"/>
    <n v="21"/>
    <n v="16"/>
    <n v="48"/>
    <n v="7"/>
    <n v="44"/>
    <n v="27"/>
    <n v="21"/>
    <n v="0"/>
    <n v="9"/>
    <n v="33"/>
    <n v="29"/>
    <n v="14"/>
    <n v="87923"/>
    <n v="5089"/>
  </r>
  <r>
    <d v="2024-04-18T00:00:00"/>
    <x v="3"/>
    <n v="4"/>
    <n v="727"/>
    <n v="673"/>
    <n v="25"/>
    <n v="22"/>
    <n v="33"/>
    <n v="5"/>
    <n v="9"/>
    <n v="14"/>
    <n v="39"/>
    <n v="42"/>
    <n v="35"/>
    <n v="13"/>
    <n v="2"/>
    <n v="32"/>
    <n v="31"/>
    <n v="3"/>
    <n v="20"/>
    <n v="40"/>
    <n v="45"/>
    <n v="18"/>
    <n v="6"/>
    <n v="15"/>
    <n v="36"/>
    <n v="32"/>
    <n v="42"/>
    <n v="31"/>
    <n v="3"/>
    <n v="38"/>
    <n v="17"/>
    <n v="5"/>
    <n v="23"/>
    <n v="14"/>
    <n v="44"/>
    <n v="4"/>
    <n v="32"/>
    <n v="17"/>
    <n v="26"/>
    <n v="29"/>
    <n v="18"/>
    <n v="6"/>
    <n v="5"/>
    <n v="25"/>
    <n v="24"/>
    <n v="42"/>
    <n v="23"/>
    <n v="27"/>
    <n v="3"/>
    <n v="16"/>
    <n v="36"/>
    <n v="31"/>
    <n v="12"/>
    <n v="41"/>
    <n v="6"/>
    <n v="44"/>
    <n v="88473"/>
    <n v="5101"/>
  </r>
  <r>
    <d v="2024-04-19T00:00:00"/>
    <x v="3"/>
    <n v="4"/>
    <n v="729"/>
    <n v="674"/>
    <n v="46"/>
    <n v="3"/>
    <n v="24"/>
    <n v="39"/>
    <n v="19"/>
    <n v="35"/>
    <n v="1"/>
    <n v="19"/>
    <n v="18"/>
    <n v="15"/>
    <n v="10"/>
    <n v="33"/>
    <n v="27"/>
    <n v="47"/>
    <n v="45"/>
    <n v="22"/>
    <n v="38"/>
    <n v="24"/>
    <n v="18"/>
    <n v="23"/>
    <n v="12"/>
    <n v="14"/>
    <n v="3"/>
    <n v="43"/>
    <n v="37"/>
    <n v="31"/>
    <n v="44"/>
    <n v="1"/>
    <n v="31"/>
    <n v="49"/>
    <n v="30"/>
    <n v="27"/>
    <n v="12"/>
    <n v="32"/>
    <n v="17"/>
    <n v="39"/>
    <n v="41"/>
    <n v="22"/>
    <n v="17"/>
    <n v="15"/>
    <n v="46"/>
    <n v="5"/>
    <n v="10"/>
    <n v="39"/>
    <n v="21"/>
    <n v="45"/>
    <n v="3"/>
    <n v="4"/>
    <n v="41"/>
    <n v="32"/>
    <n v="48"/>
    <n v="44"/>
    <n v="89024"/>
    <n v="5113"/>
  </r>
  <r>
    <d v="2024-04-20T00:00:00"/>
    <x v="3"/>
    <n v="4"/>
    <n v="730"/>
    <n v="675"/>
    <n v="19"/>
    <n v="20"/>
    <n v="29"/>
    <n v="35"/>
    <n v="10"/>
    <n v="17"/>
    <n v="18"/>
    <n v="2"/>
    <n v="36"/>
    <n v="15"/>
    <n v="33"/>
    <n v="29"/>
    <n v="10"/>
    <n v="47"/>
    <n v="39"/>
    <n v="39"/>
    <n v="2"/>
    <n v="28"/>
    <n v="41"/>
    <n v="35"/>
    <n v="13"/>
    <n v="23"/>
    <n v="5"/>
    <n v="29"/>
    <n v="3"/>
    <n v="46"/>
    <n v="15"/>
    <n v="16"/>
    <n v="47"/>
    <n v="32"/>
    <n v="8"/>
    <n v="36"/>
    <n v="48"/>
    <n v="32"/>
    <n v="43"/>
    <n v="45"/>
    <n v="21"/>
    <n v="39"/>
    <n v="36"/>
    <n v="1"/>
    <n v="27"/>
    <n v="46"/>
    <n v="14"/>
    <n v="8"/>
    <n v="9"/>
    <n v="14"/>
    <n v="21"/>
    <n v="36"/>
    <n v="24"/>
    <n v="0"/>
    <n v="12"/>
    <n v="7"/>
    <n v="89575"/>
    <n v="5126"/>
  </r>
  <r>
    <d v="2024-04-21T00:00:00"/>
    <x v="3"/>
    <n v="4"/>
    <n v="732"/>
    <n v="676"/>
    <n v="1"/>
    <n v="10"/>
    <n v="1"/>
    <n v="43"/>
    <n v="26"/>
    <n v="2"/>
    <n v="19"/>
    <n v="29"/>
    <n v="37"/>
    <n v="5"/>
    <n v="29"/>
    <n v="40"/>
    <n v="39"/>
    <n v="5"/>
    <n v="27"/>
    <n v="39"/>
    <n v="27"/>
    <n v="32"/>
    <n v="29"/>
    <n v="2"/>
    <n v="39"/>
    <n v="21"/>
    <n v="44"/>
    <n v="32"/>
    <n v="4"/>
    <n v="49"/>
    <n v="20"/>
    <n v="12"/>
    <n v="46"/>
    <n v="4"/>
    <n v="41"/>
    <n v="5"/>
    <n v="46"/>
    <n v="10"/>
    <n v="20"/>
    <n v="21"/>
    <n v="19"/>
    <n v="36"/>
    <n v="28"/>
    <n v="31"/>
    <n v="14"/>
    <n v="14"/>
    <n v="30"/>
    <n v="23"/>
    <n v="48"/>
    <n v="19"/>
    <n v="37"/>
    <n v="36"/>
    <n v="3"/>
    <n v="43"/>
    <n v="34"/>
    <n v="47"/>
    <n v="90126"/>
    <n v="5138"/>
  </r>
  <r>
    <d v="2024-04-22T00:00:00"/>
    <x v="3"/>
    <n v="4"/>
    <n v="734"/>
    <n v="676"/>
    <n v="39"/>
    <n v="22"/>
    <n v="25"/>
    <n v="34"/>
    <n v="45"/>
    <n v="5"/>
    <n v="0"/>
    <n v="2"/>
    <n v="31"/>
    <n v="19"/>
    <n v="43"/>
    <n v="29"/>
    <n v="13"/>
    <n v="24"/>
    <n v="15"/>
    <n v="9"/>
    <n v="45"/>
    <n v="27"/>
    <n v="21"/>
    <n v="3"/>
    <n v="14"/>
    <n v="11"/>
    <n v="6"/>
    <n v="43"/>
    <n v="22"/>
    <n v="20"/>
    <n v="16"/>
    <n v="12"/>
    <n v="31"/>
    <n v="29"/>
    <n v="43"/>
    <n v="44"/>
    <n v="46"/>
    <n v="10"/>
    <n v="21"/>
    <n v="21"/>
    <n v="16"/>
    <n v="43"/>
    <n v="46"/>
    <n v="48"/>
    <n v="11"/>
    <n v="32"/>
    <n v="9"/>
    <n v="19"/>
    <n v="10"/>
    <n v="44"/>
    <n v="17"/>
    <n v="22"/>
    <n v="49"/>
    <n v="47"/>
    <n v="10"/>
    <n v="8"/>
    <n v="90676"/>
    <n v="5150"/>
  </r>
  <r>
    <d v="2024-04-23T00:00:00"/>
    <x v="3"/>
    <n v="4"/>
    <n v="735"/>
    <n v="677"/>
    <n v="30"/>
    <n v="27"/>
    <n v="8"/>
    <n v="13"/>
    <n v="42"/>
    <n v="16"/>
    <n v="33"/>
    <n v="43"/>
    <n v="12"/>
    <n v="26"/>
    <n v="17"/>
    <n v="22"/>
    <n v="10"/>
    <n v="10"/>
    <n v="4"/>
    <n v="9"/>
    <n v="7"/>
    <n v="39"/>
    <n v="24"/>
    <n v="39"/>
    <n v="9"/>
    <n v="4"/>
    <n v="16"/>
    <n v="24"/>
    <n v="7"/>
    <n v="4"/>
    <n v="8"/>
    <n v="16"/>
    <n v="47"/>
    <n v="46"/>
    <n v="45"/>
    <n v="9"/>
    <n v="11"/>
    <n v="35"/>
    <n v="32"/>
    <n v="22"/>
    <n v="23"/>
    <n v="9"/>
    <n v="36"/>
    <n v="1"/>
    <n v="20"/>
    <n v="49"/>
    <n v="36"/>
    <n v="30"/>
    <n v="23"/>
    <n v="10"/>
    <n v="16"/>
    <n v="20"/>
    <n v="17"/>
    <n v="5"/>
    <n v="20"/>
    <n v="17"/>
    <n v="91227"/>
    <n v="5162"/>
  </r>
  <r>
    <d v="2024-04-24T00:00:00"/>
    <x v="3"/>
    <n v="4"/>
    <n v="737"/>
    <n v="678"/>
    <n v="2"/>
    <n v="17"/>
    <n v="23"/>
    <n v="10"/>
    <n v="12"/>
    <n v="30"/>
    <n v="31"/>
    <n v="45"/>
    <n v="30"/>
    <n v="7"/>
    <n v="17"/>
    <n v="32"/>
    <n v="15"/>
    <n v="16"/>
    <n v="35"/>
    <n v="46"/>
    <n v="3"/>
    <n v="40"/>
    <n v="30"/>
    <n v="27"/>
    <n v="4"/>
    <n v="28"/>
    <n v="31"/>
    <n v="46"/>
    <n v="10"/>
    <n v="22"/>
    <n v="39"/>
    <n v="45"/>
    <n v="1"/>
    <n v="13"/>
    <n v="26"/>
    <n v="39"/>
    <n v="30"/>
    <n v="16"/>
    <n v="40"/>
    <n v="36"/>
    <n v="12"/>
    <n v="23"/>
    <n v="6"/>
    <n v="44"/>
    <n v="43"/>
    <n v="22"/>
    <n v="46"/>
    <n v="44"/>
    <n v="39"/>
    <n v="47"/>
    <n v="38"/>
    <n v="19"/>
    <n v="9"/>
    <n v="14"/>
    <n v="11"/>
    <n v="18"/>
    <n v="91778"/>
    <n v="5174"/>
  </r>
  <r>
    <d v="2024-04-25T00:00:00"/>
    <x v="3"/>
    <n v="4"/>
    <n v="739"/>
    <n v="678"/>
    <n v="29"/>
    <n v="10"/>
    <n v="49"/>
    <n v="17"/>
    <n v="41"/>
    <n v="24"/>
    <n v="33"/>
    <n v="35"/>
    <n v="0"/>
    <n v="31"/>
    <n v="36"/>
    <n v="47"/>
    <n v="24"/>
    <n v="45"/>
    <n v="45"/>
    <n v="49"/>
    <n v="14"/>
    <n v="1"/>
    <n v="11"/>
    <n v="8"/>
    <n v="3"/>
    <n v="25"/>
    <n v="26"/>
    <n v="33"/>
    <n v="7"/>
    <n v="27"/>
    <n v="35"/>
    <n v="37"/>
    <n v="41"/>
    <n v="21"/>
    <n v="14"/>
    <n v="34"/>
    <n v="28"/>
    <n v="17"/>
    <n v="43"/>
    <n v="13"/>
    <n v="19"/>
    <n v="5"/>
    <n v="8"/>
    <n v="41"/>
    <n v="13"/>
    <n v="7"/>
    <n v="35"/>
    <n v="4"/>
    <n v="44"/>
    <n v="9"/>
    <n v="30"/>
    <n v="42"/>
    <n v="33"/>
    <n v="32"/>
    <n v="31"/>
    <n v="36"/>
    <n v="92328"/>
    <n v="5186"/>
  </r>
  <r>
    <d v="2024-04-26T00:00:00"/>
    <x v="3"/>
    <n v="4"/>
    <n v="740"/>
    <n v="679"/>
    <n v="41"/>
    <n v="9"/>
    <n v="2"/>
    <n v="1"/>
    <n v="48"/>
    <n v="1"/>
    <n v="25"/>
    <n v="49"/>
    <n v="27"/>
    <n v="40"/>
    <n v="3"/>
    <n v="16"/>
    <n v="11"/>
    <n v="11"/>
    <n v="48"/>
    <n v="48"/>
    <n v="20"/>
    <n v="2"/>
    <n v="33"/>
    <n v="24"/>
    <n v="23"/>
    <n v="27"/>
    <n v="37"/>
    <n v="30"/>
    <n v="29"/>
    <n v="5"/>
    <n v="24"/>
    <n v="2"/>
    <n v="40"/>
    <n v="11"/>
    <n v="15"/>
    <n v="38"/>
    <n v="37"/>
    <n v="17"/>
    <n v="45"/>
    <n v="46"/>
    <n v="45"/>
    <n v="2"/>
    <n v="33"/>
    <n v="3"/>
    <n v="45"/>
    <n v="28"/>
    <n v="36"/>
    <n v="7"/>
    <n v="49"/>
    <n v="22"/>
    <n v="29"/>
    <n v="18"/>
    <n v="41"/>
    <n v="2"/>
    <n v="18"/>
    <n v="12"/>
    <n v="92879"/>
    <n v="5198"/>
  </r>
  <r>
    <d v="2024-04-27T00:00:00"/>
    <x v="3"/>
    <n v="4"/>
    <n v="742"/>
    <n v="680"/>
    <n v="4"/>
    <n v="8"/>
    <n v="42"/>
    <n v="21"/>
    <n v="23"/>
    <n v="5"/>
    <n v="33"/>
    <n v="5"/>
    <n v="47"/>
    <n v="13"/>
    <n v="19"/>
    <n v="38"/>
    <n v="25"/>
    <n v="2"/>
    <n v="35"/>
    <n v="10"/>
    <n v="49"/>
    <n v="23"/>
    <n v="40"/>
    <n v="20"/>
    <n v="33"/>
    <n v="33"/>
    <n v="40"/>
    <n v="8"/>
    <n v="19"/>
    <n v="35"/>
    <n v="28"/>
    <n v="16"/>
    <n v="18"/>
    <n v="4"/>
    <n v="42"/>
    <n v="26"/>
    <n v="17"/>
    <n v="19"/>
    <n v="43"/>
    <n v="46"/>
    <n v="24"/>
    <n v="10"/>
    <n v="20"/>
    <n v="12"/>
    <n v="47"/>
    <n v="1"/>
    <n v="46"/>
    <n v="4"/>
    <n v="40"/>
    <n v="2"/>
    <n v="40"/>
    <n v="1"/>
    <n v="16"/>
    <n v="47"/>
    <n v="31"/>
    <n v="15"/>
    <n v="93430"/>
    <n v="5210"/>
  </r>
  <r>
    <d v="2024-04-28T00:00:00"/>
    <x v="3"/>
    <n v="4"/>
    <n v="743"/>
    <n v="680"/>
    <n v="2"/>
    <n v="45"/>
    <n v="40"/>
    <n v="19"/>
    <n v="11"/>
    <n v="24"/>
    <n v="48"/>
    <n v="38"/>
    <n v="22"/>
    <n v="32"/>
    <n v="47"/>
    <n v="33"/>
    <n v="30"/>
    <n v="11"/>
    <n v="25"/>
    <n v="40"/>
    <n v="13"/>
    <n v="32"/>
    <n v="42"/>
    <n v="28"/>
    <n v="30"/>
    <n v="47"/>
    <n v="41"/>
    <n v="0"/>
    <n v="3"/>
    <n v="24"/>
    <n v="19"/>
    <n v="28"/>
    <n v="29"/>
    <n v="26"/>
    <n v="12"/>
    <n v="1"/>
    <n v="37"/>
    <n v="40"/>
    <n v="18"/>
    <n v="23"/>
    <n v="7"/>
    <n v="0"/>
    <n v="10"/>
    <n v="45"/>
    <n v="19"/>
    <n v="49"/>
    <n v="44"/>
    <n v="33"/>
    <n v="37"/>
    <n v="9"/>
    <n v="29"/>
    <n v="19"/>
    <n v="42"/>
    <n v="6"/>
    <n v="48"/>
    <n v="1"/>
    <n v="93980"/>
    <n v="5222"/>
  </r>
  <r>
    <d v="2024-04-29T00:00:00"/>
    <x v="3"/>
    <n v="4"/>
    <n v="745"/>
    <n v="681"/>
    <n v="46"/>
    <n v="13"/>
    <n v="17"/>
    <n v="24"/>
    <n v="47"/>
    <n v="16"/>
    <n v="19"/>
    <n v="26"/>
    <n v="1"/>
    <n v="24"/>
    <n v="29"/>
    <n v="12"/>
    <n v="47"/>
    <n v="28"/>
    <n v="48"/>
    <n v="2"/>
    <n v="40"/>
    <n v="47"/>
    <n v="10"/>
    <n v="44"/>
    <n v="43"/>
    <n v="0"/>
    <n v="40"/>
    <n v="15"/>
    <n v="23"/>
    <n v="23"/>
    <n v="3"/>
    <n v="30"/>
    <n v="19"/>
    <n v="44"/>
    <n v="14"/>
    <n v="47"/>
    <n v="10"/>
    <n v="19"/>
    <n v="46"/>
    <n v="38"/>
    <n v="20"/>
    <n v="18"/>
    <n v="8"/>
    <n v="15"/>
    <n v="19"/>
    <n v="41"/>
    <n v="42"/>
    <n v="33"/>
    <n v="31"/>
    <n v="11"/>
    <n v="35"/>
    <n v="48"/>
    <n v="44"/>
    <n v="10"/>
    <n v="36"/>
    <n v="3"/>
    <n v="94531"/>
    <n v="5234"/>
  </r>
  <r>
    <d v="2024-04-30T00:00:00"/>
    <x v="3"/>
    <n v="4"/>
    <n v="747"/>
    <n v="682"/>
    <n v="7"/>
    <n v="44"/>
    <n v="41"/>
    <n v="3"/>
    <n v="46"/>
    <n v="30"/>
    <n v="13"/>
    <n v="44"/>
    <n v="4"/>
    <n v="10"/>
    <n v="45"/>
    <n v="30"/>
    <n v="38"/>
    <n v="25"/>
    <n v="9"/>
    <n v="28"/>
    <n v="1"/>
    <n v="34"/>
    <n v="33"/>
    <n v="36"/>
    <n v="5"/>
    <n v="38"/>
    <n v="18"/>
    <n v="16"/>
    <n v="47"/>
    <n v="34"/>
    <n v="10"/>
    <n v="45"/>
    <n v="21"/>
    <n v="21"/>
    <n v="4"/>
    <n v="11"/>
    <n v="25"/>
    <n v="14"/>
    <n v="0"/>
    <n v="9"/>
    <n v="7"/>
    <n v="32"/>
    <n v="3"/>
    <n v="42"/>
    <n v="8"/>
    <n v="25"/>
    <n v="35"/>
    <n v="46"/>
    <n v="40"/>
    <n v="30"/>
    <n v="28"/>
    <n v="47"/>
    <n v="44"/>
    <n v="4"/>
    <n v="30"/>
    <n v="18"/>
    <n v="95082"/>
    <n v="5246"/>
  </r>
  <r>
    <d v="2024-05-01T00:00:00"/>
    <x v="4"/>
    <n v="5"/>
    <n v="748"/>
    <n v="682"/>
    <n v="39"/>
    <n v="38"/>
    <n v="11"/>
    <n v="12"/>
    <n v="22"/>
    <n v="16"/>
    <n v="29"/>
    <n v="36"/>
    <n v="6"/>
    <n v="12"/>
    <n v="46"/>
    <n v="12"/>
    <n v="24"/>
    <n v="20"/>
    <n v="17"/>
    <n v="24"/>
    <n v="8"/>
    <n v="37"/>
    <n v="32"/>
    <n v="26"/>
    <n v="8"/>
    <n v="44"/>
    <n v="4"/>
    <n v="18"/>
    <n v="35"/>
    <n v="16"/>
    <n v="45"/>
    <n v="40"/>
    <n v="40"/>
    <n v="3"/>
    <n v="20"/>
    <n v="47"/>
    <n v="30"/>
    <n v="41"/>
    <n v="21"/>
    <n v="10"/>
    <n v="30"/>
    <n v="22"/>
    <n v="42"/>
    <n v="45"/>
    <n v="2"/>
    <n v="9"/>
    <n v="40"/>
    <n v="32"/>
    <n v="33"/>
    <n v="48"/>
    <n v="11"/>
    <n v="5"/>
    <n v="15"/>
    <n v="41"/>
    <n v="17"/>
    <n v="1"/>
    <n v="95632"/>
    <n v="5258"/>
  </r>
  <r>
    <d v="2024-05-02T00:00:00"/>
    <x v="4"/>
    <n v="5"/>
    <n v="750"/>
    <n v="683"/>
    <n v="19"/>
    <n v="13"/>
    <n v="22"/>
    <n v="5"/>
    <n v="6"/>
    <n v="31"/>
    <n v="10"/>
    <n v="35"/>
    <n v="19"/>
    <n v="26"/>
    <n v="49"/>
    <n v="20"/>
    <n v="8"/>
    <n v="32"/>
    <n v="31"/>
    <n v="5"/>
    <n v="32"/>
    <n v="14"/>
    <n v="43"/>
    <n v="27"/>
    <n v="30"/>
    <n v="12"/>
    <n v="19"/>
    <n v="35"/>
    <n v="13"/>
    <n v="8"/>
    <n v="6"/>
    <n v="4"/>
    <n v="0"/>
    <n v="5"/>
    <n v="27"/>
    <n v="41"/>
    <n v="3"/>
    <n v="42"/>
    <n v="17"/>
    <n v="20"/>
    <n v="1"/>
    <n v="3"/>
    <n v="32"/>
    <n v="17"/>
    <n v="46"/>
    <n v="6"/>
    <n v="48"/>
    <n v="2"/>
    <n v="21"/>
    <n v="13"/>
    <n v="47"/>
    <n v="39"/>
    <n v="37"/>
    <n v="44"/>
    <n v="44"/>
    <n v="40"/>
    <n v="96183"/>
    <n v="5270"/>
  </r>
  <r>
    <d v="2024-05-03T00:00:00"/>
    <x v="4"/>
    <n v="5"/>
    <n v="752"/>
    <n v="684"/>
    <n v="0"/>
    <n v="27"/>
    <n v="45"/>
    <n v="39"/>
    <n v="8"/>
    <n v="4"/>
    <n v="10"/>
    <n v="30"/>
    <n v="7"/>
    <n v="17"/>
    <n v="5"/>
    <n v="4"/>
    <n v="9"/>
    <n v="3"/>
    <n v="1"/>
    <n v="38"/>
    <n v="47"/>
    <n v="40"/>
    <n v="19"/>
    <n v="20"/>
    <n v="7"/>
    <n v="24"/>
    <n v="12"/>
    <n v="8"/>
    <n v="31"/>
    <n v="48"/>
    <n v="40"/>
    <n v="26"/>
    <n v="10"/>
    <n v="17"/>
    <n v="41"/>
    <n v="26"/>
    <n v="7"/>
    <n v="6"/>
    <n v="2"/>
    <n v="32"/>
    <n v="40"/>
    <n v="36"/>
    <n v="34"/>
    <n v="15"/>
    <n v="18"/>
    <n v="13"/>
    <n v="38"/>
    <n v="45"/>
    <n v="45"/>
    <n v="12"/>
    <n v="32"/>
    <n v="41"/>
    <n v="34"/>
    <n v="31"/>
    <n v="42"/>
    <n v="44"/>
    <n v="96734"/>
    <n v="5282"/>
  </r>
  <r>
    <d v="2024-05-04T00:00:00"/>
    <x v="4"/>
    <n v="5"/>
    <n v="753"/>
    <n v="684"/>
    <n v="24"/>
    <n v="14"/>
    <n v="46"/>
    <n v="17"/>
    <n v="47"/>
    <n v="2"/>
    <n v="42"/>
    <n v="4"/>
    <n v="42"/>
    <n v="26"/>
    <n v="17"/>
    <n v="35"/>
    <n v="12"/>
    <n v="41"/>
    <n v="45"/>
    <n v="1"/>
    <n v="15"/>
    <n v="39"/>
    <n v="22"/>
    <n v="47"/>
    <n v="1"/>
    <n v="0"/>
    <n v="4"/>
    <n v="44"/>
    <n v="47"/>
    <n v="39"/>
    <n v="1"/>
    <n v="12"/>
    <n v="24"/>
    <n v="8"/>
    <n v="13"/>
    <n v="3"/>
    <n v="44"/>
    <n v="20"/>
    <n v="48"/>
    <n v="3"/>
    <n v="10"/>
    <n v="26"/>
    <n v="18"/>
    <n v="22"/>
    <n v="30"/>
    <n v="15"/>
    <n v="46"/>
    <n v="33"/>
    <n v="10"/>
    <n v="31"/>
    <n v="42"/>
    <n v="2"/>
    <n v="41"/>
    <n v="43"/>
    <n v="2"/>
    <n v="12"/>
    <n v="97284"/>
    <n v="5294"/>
  </r>
  <r>
    <d v="2024-05-05T00:00:00"/>
    <x v="4"/>
    <n v="5"/>
    <n v="755"/>
    <n v="685"/>
    <n v="15"/>
    <n v="9"/>
    <n v="37"/>
    <n v="46"/>
    <n v="13"/>
    <n v="12"/>
    <n v="31"/>
    <n v="40"/>
    <n v="27"/>
    <n v="43"/>
    <n v="5"/>
    <n v="49"/>
    <n v="15"/>
    <n v="16"/>
    <n v="8"/>
    <n v="15"/>
    <n v="43"/>
    <n v="37"/>
    <n v="31"/>
    <n v="12"/>
    <n v="48"/>
    <n v="8"/>
    <n v="44"/>
    <n v="29"/>
    <n v="49"/>
    <n v="8"/>
    <n v="20"/>
    <n v="39"/>
    <n v="34"/>
    <n v="0"/>
    <n v="5"/>
    <n v="7"/>
    <n v="22"/>
    <n v="20"/>
    <n v="24"/>
    <n v="17"/>
    <n v="31"/>
    <n v="32"/>
    <n v="1"/>
    <n v="21"/>
    <n v="2"/>
    <n v="46"/>
    <n v="42"/>
    <n v="2"/>
    <n v="14"/>
    <n v="22"/>
    <n v="31"/>
    <n v="18"/>
    <n v="49"/>
    <n v="0"/>
    <n v="34"/>
    <n v="17"/>
    <n v="97835"/>
    <n v="5306"/>
  </r>
  <r>
    <d v="2024-05-06T00:00:00"/>
    <x v="4"/>
    <n v="5"/>
    <n v="757"/>
    <n v="686"/>
    <n v="43"/>
    <n v="6"/>
    <n v="1"/>
    <n v="12"/>
    <n v="27"/>
    <n v="20"/>
    <n v="4"/>
    <n v="31"/>
    <n v="30"/>
    <n v="24"/>
    <n v="32"/>
    <n v="5"/>
    <n v="30"/>
    <n v="32"/>
    <n v="0"/>
    <n v="17"/>
    <n v="37"/>
    <n v="2"/>
    <n v="35"/>
    <n v="2"/>
    <n v="44"/>
    <n v="1"/>
    <n v="42"/>
    <n v="40"/>
    <n v="18"/>
    <n v="2"/>
    <n v="43"/>
    <n v="12"/>
    <n v="14"/>
    <n v="11"/>
    <n v="2"/>
    <n v="21"/>
    <n v="48"/>
    <n v="30"/>
    <n v="15"/>
    <n v="9"/>
    <n v="39"/>
    <n v="17"/>
    <n v="12"/>
    <n v="38"/>
    <n v="37"/>
    <n v="26"/>
    <n v="48"/>
    <n v="7"/>
    <n v="5"/>
    <n v="16"/>
    <n v="3"/>
    <n v="41"/>
    <n v="5"/>
    <n v="10"/>
    <n v="9"/>
    <n v="10"/>
    <n v="98386"/>
    <n v="5318"/>
  </r>
  <r>
    <d v="2024-05-07T00:00:00"/>
    <x v="4"/>
    <n v="5"/>
    <n v="758"/>
    <n v="686"/>
    <n v="49"/>
    <n v="0"/>
    <n v="1"/>
    <n v="16"/>
    <n v="38"/>
    <n v="6"/>
    <n v="12"/>
    <n v="18"/>
    <n v="44"/>
    <n v="9"/>
    <n v="48"/>
    <n v="3"/>
    <n v="26"/>
    <n v="48"/>
    <n v="1"/>
    <n v="49"/>
    <n v="28"/>
    <n v="8"/>
    <n v="12"/>
    <n v="2"/>
    <n v="42"/>
    <n v="40"/>
    <n v="23"/>
    <n v="42"/>
    <n v="16"/>
    <n v="6"/>
    <n v="25"/>
    <n v="44"/>
    <n v="38"/>
    <n v="10"/>
    <n v="12"/>
    <n v="32"/>
    <n v="25"/>
    <n v="7"/>
    <n v="14"/>
    <n v="35"/>
    <n v="14"/>
    <n v="15"/>
    <n v="18"/>
    <n v="1"/>
    <n v="3"/>
    <n v="0"/>
    <n v="37"/>
    <n v="11"/>
    <n v="38"/>
    <n v="2"/>
    <n v="46"/>
    <n v="1"/>
    <n v="47"/>
    <n v="32"/>
    <n v="48"/>
    <n v="0"/>
    <n v="98936"/>
    <n v="5330"/>
  </r>
  <r>
    <d v="2024-05-08T00:00:00"/>
    <x v="4"/>
    <n v="5"/>
    <n v="760"/>
    <n v="687"/>
    <n v="19"/>
    <n v="22"/>
    <n v="16"/>
    <n v="1"/>
    <n v="23"/>
    <n v="24"/>
    <n v="34"/>
    <n v="12"/>
    <n v="36"/>
    <n v="28"/>
    <n v="47"/>
    <n v="30"/>
    <n v="41"/>
    <n v="13"/>
    <n v="27"/>
    <n v="24"/>
    <n v="42"/>
    <n v="36"/>
    <n v="43"/>
    <n v="42"/>
    <n v="10"/>
    <n v="9"/>
    <n v="34"/>
    <n v="4"/>
    <n v="29"/>
    <n v="48"/>
    <n v="40"/>
    <n v="26"/>
    <n v="23"/>
    <n v="45"/>
    <n v="12"/>
    <n v="0"/>
    <n v="10"/>
    <n v="3"/>
    <n v="40"/>
    <n v="33"/>
    <n v="37"/>
    <n v="23"/>
    <n v="0"/>
    <n v="2"/>
    <n v="39"/>
    <n v="32"/>
    <n v="45"/>
    <n v="44"/>
    <n v="36"/>
    <n v="48"/>
    <n v="8"/>
    <n v="4"/>
    <n v="30"/>
    <n v="7"/>
    <n v="10"/>
    <n v="7"/>
    <n v="99487"/>
    <n v="5343"/>
  </r>
  <r>
    <d v="2024-05-09T00:00:00"/>
    <x v="4"/>
    <n v="5"/>
    <n v="762"/>
    <n v="688"/>
    <n v="16"/>
    <n v="29"/>
    <n v="33"/>
    <n v="43"/>
    <n v="10"/>
    <n v="20"/>
    <n v="43"/>
    <n v="13"/>
    <n v="23"/>
    <n v="11"/>
    <n v="41"/>
    <n v="39"/>
    <n v="6"/>
    <n v="27"/>
    <n v="24"/>
    <n v="3"/>
    <n v="42"/>
    <n v="38"/>
    <n v="40"/>
    <n v="15"/>
    <n v="34"/>
    <n v="38"/>
    <n v="19"/>
    <n v="32"/>
    <n v="26"/>
    <n v="39"/>
    <n v="8"/>
    <n v="2"/>
    <n v="41"/>
    <n v="18"/>
    <n v="41"/>
    <n v="37"/>
    <n v="23"/>
    <n v="10"/>
    <n v="2"/>
    <n v="14"/>
    <n v="22"/>
    <n v="5"/>
    <n v="33"/>
    <n v="5"/>
    <n v="16"/>
    <n v="2"/>
    <n v="32"/>
    <n v="12"/>
    <n v="22"/>
    <n v="41"/>
    <n v="21"/>
    <n v="28"/>
    <n v="34"/>
    <n v="35"/>
    <n v="20"/>
    <n v="41"/>
    <n v="100038"/>
    <n v="5355"/>
  </r>
  <r>
    <d v="2024-05-10T00:00:00"/>
    <x v="4"/>
    <n v="5"/>
    <n v="763"/>
    <n v="689"/>
    <n v="43"/>
    <n v="38"/>
    <n v="13"/>
    <n v="41"/>
    <n v="26"/>
    <n v="35"/>
    <n v="8"/>
    <n v="19"/>
    <n v="41"/>
    <n v="23"/>
    <n v="23"/>
    <n v="31"/>
    <n v="2"/>
    <n v="26"/>
    <n v="40"/>
    <n v="44"/>
    <n v="45"/>
    <n v="33"/>
    <n v="12"/>
    <n v="2"/>
    <n v="41"/>
    <n v="6"/>
    <n v="8"/>
    <n v="14"/>
    <n v="5"/>
    <n v="2"/>
    <n v="29"/>
    <n v="12"/>
    <n v="44"/>
    <n v="43"/>
    <n v="20"/>
    <n v="41"/>
    <n v="31"/>
    <n v="9"/>
    <n v="46"/>
    <n v="23"/>
    <n v="36"/>
    <n v="28"/>
    <n v="37"/>
    <n v="27"/>
    <n v="32"/>
    <n v="42"/>
    <n v="37"/>
    <n v="5"/>
    <n v="36"/>
    <n v="5"/>
    <n v="17"/>
    <n v="19"/>
    <n v="39"/>
    <n v="25"/>
    <n v="23"/>
    <n v="42"/>
    <n v="100589"/>
    <n v="5367"/>
  </r>
  <r>
    <d v="2024-05-11T00:00:00"/>
    <x v="4"/>
    <n v="5"/>
    <n v="765"/>
    <n v="689"/>
    <n v="47"/>
    <n v="9"/>
    <n v="20"/>
    <n v="38"/>
    <n v="18"/>
    <n v="36"/>
    <n v="21"/>
    <n v="49"/>
    <n v="41"/>
    <n v="42"/>
    <n v="11"/>
    <n v="15"/>
    <n v="3"/>
    <n v="49"/>
    <n v="6"/>
    <n v="37"/>
    <n v="27"/>
    <n v="13"/>
    <n v="40"/>
    <n v="7"/>
    <n v="2"/>
    <n v="32"/>
    <n v="45"/>
    <n v="0"/>
    <n v="5"/>
    <n v="4"/>
    <n v="15"/>
    <n v="11"/>
    <n v="32"/>
    <n v="32"/>
    <n v="5"/>
    <n v="48"/>
    <n v="31"/>
    <n v="8"/>
    <n v="11"/>
    <n v="25"/>
    <n v="19"/>
    <n v="7"/>
    <n v="33"/>
    <n v="48"/>
    <n v="12"/>
    <n v="27"/>
    <n v="20"/>
    <n v="16"/>
    <n v="26"/>
    <n v="3"/>
    <n v="14"/>
    <n v="37"/>
    <n v="8"/>
    <n v="13"/>
    <n v="17"/>
    <n v="5"/>
    <n v="101139"/>
    <n v="5379"/>
  </r>
  <r>
    <d v="2024-05-12T00:00:00"/>
    <x v="4"/>
    <n v="5"/>
    <n v="766"/>
    <n v="690"/>
    <n v="26"/>
    <n v="43"/>
    <n v="44"/>
    <n v="10"/>
    <n v="6"/>
    <n v="4"/>
    <n v="21"/>
    <n v="33"/>
    <n v="2"/>
    <n v="34"/>
    <n v="16"/>
    <n v="4"/>
    <n v="19"/>
    <n v="16"/>
    <n v="33"/>
    <n v="46"/>
    <n v="21"/>
    <n v="8"/>
    <n v="23"/>
    <n v="9"/>
    <n v="27"/>
    <n v="42"/>
    <n v="29"/>
    <n v="39"/>
    <n v="18"/>
    <n v="45"/>
    <n v="11"/>
    <n v="42"/>
    <n v="5"/>
    <n v="35"/>
    <n v="44"/>
    <n v="18"/>
    <n v="0"/>
    <n v="34"/>
    <n v="28"/>
    <n v="25"/>
    <n v="20"/>
    <n v="44"/>
    <n v="33"/>
    <n v="27"/>
    <n v="30"/>
    <n v="12"/>
    <n v="14"/>
    <n v="8"/>
    <n v="42"/>
    <n v="30"/>
    <n v="31"/>
    <n v="21"/>
    <n v="2"/>
    <n v="43"/>
    <n v="16"/>
    <n v="44"/>
    <n v="101690"/>
    <n v="5391"/>
  </r>
  <r>
    <d v="2024-05-13T00:00:00"/>
    <x v="4"/>
    <n v="5"/>
    <n v="768"/>
    <n v="691"/>
    <n v="47"/>
    <n v="3"/>
    <n v="40"/>
    <n v="7"/>
    <n v="5"/>
    <n v="20"/>
    <n v="27"/>
    <n v="9"/>
    <n v="28"/>
    <n v="0"/>
    <n v="26"/>
    <n v="26"/>
    <n v="44"/>
    <n v="7"/>
    <n v="42"/>
    <n v="47"/>
    <n v="33"/>
    <n v="2"/>
    <n v="6"/>
    <n v="17"/>
    <n v="13"/>
    <n v="32"/>
    <n v="22"/>
    <n v="8"/>
    <n v="15"/>
    <n v="24"/>
    <n v="36"/>
    <n v="29"/>
    <n v="4"/>
    <n v="48"/>
    <n v="17"/>
    <n v="40"/>
    <n v="49"/>
    <n v="8"/>
    <n v="16"/>
    <n v="37"/>
    <n v="43"/>
    <n v="14"/>
    <n v="46"/>
    <n v="40"/>
    <n v="28"/>
    <n v="41"/>
    <n v="43"/>
    <n v="27"/>
    <n v="46"/>
    <n v="11"/>
    <n v="43"/>
    <n v="10"/>
    <n v="49"/>
    <n v="36"/>
    <n v="10"/>
    <n v="12"/>
    <n v="102241"/>
    <n v="5403"/>
  </r>
  <r>
    <d v="2024-05-14T00:00:00"/>
    <x v="4"/>
    <n v="5"/>
    <n v="770"/>
    <n v="691"/>
    <n v="21"/>
    <n v="18"/>
    <n v="9"/>
    <n v="18"/>
    <n v="27"/>
    <n v="34"/>
    <n v="13"/>
    <n v="19"/>
    <n v="4"/>
    <n v="9"/>
    <n v="33"/>
    <n v="39"/>
    <n v="48"/>
    <n v="34"/>
    <n v="20"/>
    <n v="13"/>
    <n v="45"/>
    <n v="24"/>
    <n v="21"/>
    <n v="48"/>
    <n v="17"/>
    <n v="41"/>
    <n v="30"/>
    <n v="25"/>
    <n v="5"/>
    <n v="10"/>
    <n v="26"/>
    <n v="39"/>
    <n v="27"/>
    <n v="20"/>
    <n v="26"/>
    <n v="6"/>
    <n v="42"/>
    <n v="0"/>
    <n v="42"/>
    <n v="44"/>
    <n v="21"/>
    <n v="46"/>
    <n v="17"/>
    <n v="4"/>
    <n v="35"/>
    <n v="11"/>
    <n v="20"/>
    <n v="38"/>
    <n v="18"/>
    <n v="20"/>
    <n v="28"/>
    <n v="40"/>
    <n v="46"/>
    <n v="45"/>
    <n v="26"/>
    <n v="14"/>
    <n v="102791"/>
    <n v="5415"/>
  </r>
  <r>
    <d v="2024-05-15T00:00:00"/>
    <x v="4"/>
    <n v="5"/>
    <n v="771"/>
    <n v="692"/>
    <n v="10"/>
    <n v="45"/>
    <n v="35"/>
    <n v="9"/>
    <n v="48"/>
    <n v="30"/>
    <n v="37"/>
    <n v="29"/>
    <n v="12"/>
    <n v="7"/>
    <n v="33"/>
    <n v="37"/>
    <n v="18"/>
    <n v="44"/>
    <n v="36"/>
    <n v="40"/>
    <n v="8"/>
    <n v="22"/>
    <n v="48"/>
    <n v="8"/>
    <n v="40"/>
    <n v="24"/>
    <n v="17"/>
    <n v="8"/>
    <n v="29"/>
    <n v="4"/>
    <n v="46"/>
    <n v="40"/>
    <n v="6"/>
    <n v="46"/>
    <n v="16"/>
    <n v="40"/>
    <n v="5"/>
    <n v="47"/>
    <n v="46"/>
    <n v="44"/>
    <n v="31"/>
    <n v="45"/>
    <n v="29"/>
    <n v="49"/>
    <n v="18"/>
    <n v="43"/>
    <n v="39"/>
    <n v="40"/>
    <n v="16"/>
    <n v="36"/>
    <n v="45"/>
    <n v="9"/>
    <n v="34"/>
    <n v="46"/>
    <n v="13"/>
    <n v="37"/>
    <n v="103342"/>
    <n v="5427"/>
  </r>
  <r>
    <d v="2024-05-16T00:00:00"/>
    <x v="4"/>
    <n v="5"/>
    <n v="773"/>
    <n v="693"/>
    <n v="49"/>
    <n v="8"/>
    <n v="24"/>
    <n v="20"/>
    <n v="40"/>
    <n v="39"/>
    <n v="0"/>
    <n v="5"/>
    <n v="25"/>
    <n v="19"/>
    <n v="36"/>
    <n v="3"/>
    <n v="20"/>
    <n v="18"/>
    <n v="29"/>
    <n v="24"/>
    <n v="30"/>
    <n v="21"/>
    <n v="28"/>
    <n v="17"/>
    <n v="41"/>
    <n v="9"/>
    <n v="29"/>
    <n v="33"/>
    <n v="33"/>
    <n v="12"/>
    <n v="45"/>
    <n v="32"/>
    <n v="3"/>
    <n v="34"/>
    <n v="8"/>
    <n v="41"/>
    <n v="25"/>
    <n v="19"/>
    <n v="34"/>
    <n v="33"/>
    <n v="8"/>
    <n v="30"/>
    <n v="23"/>
    <n v="1"/>
    <n v="6"/>
    <n v="29"/>
    <n v="40"/>
    <n v="12"/>
    <n v="1"/>
    <n v="7"/>
    <n v="25"/>
    <n v="37"/>
    <n v="35"/>
    <n v="43"/>
    <n v="46"/>
    <n v="27"/>
    <n v="103893"/>
    <n v="5439"/>
  </r>
  <r>
    <d v="2024-05-17T00:00:00"/>
    <x v="4"/>
    <n v="5"/>
    <n v="775"/>
    <n v="693"/>
    <n v="8"/>
    <n v="5"/>
    <n v="39"/>
    <n v="13"/>
    <n v="11"/>
    <n v="1"/>
    <n v="13"/>
    <n v="25"/>
    <n v="22"/>
    <n v="12"/>
    <n v="30"/>
    <n v="42"/>
    <n v="42"/>
    <n v="38"/>
    <n v="23"/>
    <n v="5"/>
    <n v="46"/>
    <n v="34"/>
    <n v="29"/>
    <n v="49"/>
    <n v="21"/>
    <n v="47"/>
    <n v="10"/>
    <n v="2"/>
    <n v="2"/>
    <n v="20"/>
    <n v="39"/>
    <n v="40"/>
    <n v="25"/>
    <n v="35"/>
    <n v="44"/>
    <n v="22"/>
    <n v="41"/>
    <n v="22"/>
    <n v="12"/>
    <n v="0"/>
    <n v="15"/>
    <n v="11"/>
    <n v="30"/>
    <n v="41"/>
    <n v="36"/>
    <n v="47"/>
    <n v="26"/>
    <n v="2"/>
    <n v="42"/>
    <n v="23"/>
    <n v="43"/>
    <n v="9"/>
    <n v="3"/>
    <n v="6"/>
    <n v="23"/>
    <n v="48"/>
    <n v="104443"/>
    <n v="5451"/>
  </r>
  <r>
    <d v="2024-05-18T00:00:00"/>
    <x v="4"/>
    <n v="5"/>
    <n v="776"/>
    <n v="694"/>
    <n v="6"/>
    <n v="38"/>
    <n v="12"/>
    <n v="41"/>
    <n v="40"/>
    <n v="37"/>
    <n v="9"/>
    <n v="27"/>
    <n v="18"/>
    <n v="10"/>
    <n v="24"/>
    <n v="7"/>
    <n v="46"/>
    <n v="3"/>
    <n v="26"/>
    <n v="35"/>
    <n v="44"/>
    <n v="1"/>
    <n v="26"/>
    <n v="45"/>
    <n v="2"/>
    <n v="46"/>
    <n v="43"/>
    <n v="28"/>
    <n v="27"/>
    <n v="27"/>
    <n v="0"/>
    <n v="1"/>
    <n v="46"/>
    <n v="37"/>
    <n v="37"/>
    <n v="33"/>
    <n v="8"/>
    <n v="10"/>
    <n v="9"/>
    <n v="11"/>
    <n v="41"/>
    <n v="12"/>
    <n v="44"/>
    <n v="15"/>
    <n v="43"/>
    <n v="0"/>
    <n v="36"/>
    <n v="49"/>
    <n v="46"/>
    <n v="4"/>
    <n v="48"/>
    <n v="12"/>
    <n v="3"/>
    <n v="21"/>
    <n v="2"/>
    <n v="25"/>
    <n v="104994"/>
    <n v="5463"/>
  </r>
  <r>
    <d v="2024-05-19T00:00:00"/>
    <x v="4"/>
    <n v="5"/>
    <n v="778"/>
    <n v="695"/>
    <n v="38"/>
    <n v="40"/>
    <n v="39"/>
    <n v="29"/>
    <n v="2"/>
    <n v="32"/>
    <n v="6"/>
    <n v="46"/>
    <n v="20"/>
    <n v="6"/>
    <n v="4"/>
    <n v="3"/>
    <n v="28"/>
    <n v="2"/>
    <n v="45"/>
    <n v="13"/>
    <n v="37"/>
    <n v="48"/>
    <n v="49"/>
    <n v="7"/>
    <n v="21"/>
    <n v="33"/>
    <n v="38"/>
    <n v="6"/>
    <n v="37"/>
    <n v="0"/>
    <n v="33"/>
    <n v="44"/>
    <n v="16"/>
    <n v="48"/>
    <n v="29"/>
    <n v="24"/>
    <n v="15"/>
    <n v="49"/>
    <n v="39"/>
    <n v="32"/>
    <n v="31"/>
    <n v="46"/>
    <n v="28"/>
    <n v="37"/>
    <n v="4"/>
    <n v="23"/>
    <n v="12"/>
    <n v="10"/>
    <n v="20"/>
    <n v="16"/>
    <n v="20"/>
    <n v="21"/>
    <n v="43"/>
    <n v="28"/>
    <n v="12"/>
    <n v="41"/>
    <n v="105545"/>
    <n v="5475"/>
  </r>
  <r>
    <d v="2024-05-20T00:00:00"/>
    <x v="4"/>
    <n v="5"/>
    <n v="780"/>
    <n v="695"/>
    <n v="25"/>
    <n v="22"/>
    <n v="24"/>
    <n v="41"/>
    <n v="8"/>
    <n v="38"/>
    <n v="49"/>
    <n v="27"/>
    <n v="32"/>
    <n v="27"/>
    <n v="29"/>
    <n v="22"/>
    <n v="39"/>
    <n v="49"/>
    <n v="21"/>
    <n v="24"/>
    <n v="28"/>
    <n v="13"/>
    <n v="38"/>
    <n v="11"/>
    <n v="11"/>
    <n v="44"/>
    <n v="31"/>
    <n v="47"/>
    <n v="7"/>
    <n v="39"/>
    <n v="41"/>
    <n v="29"/>
    <n v="18"/>
    <n v="14"/>
    <n v="34"/>
    <n v="4"/>
    <n v="27"/>
    <n v="46"/>
    <n v="24"/>
    <n v="7"/>
    <n v="33"/>
    <n v="18"/>
    <n v="9"/>
    <n v="32"/>
    <n v="39"/>
    <n v="36"/>
    <n v="6"/>
    <n v="43"/>
    <n v="0"/>
    <n v="41"/>
    <n v="4"/>
    <n v="4"/>
    <n v="39"/>
    <n v="7"/>
    <n v="2"/>
    <n v="21"/>
    <n v="106095"/>
    <n v="5487"/>
  </r>
  <r>
    <d v="2024-05-21T00:00:00"/>
    <x v="4"/>
    <n v="5"/>
    <n v="781"/>
    <n v="696"/>
    <n v="3"/>
    <n v="41"/>
    <n v="37"/>
    <n v="30"/>
    <n v="17"/>
    <n v="31"/>
    <n v="37"/>
    <n v="25"/>
    <n v="3"/>
    <n v="43"/>
    <n v="29"/>
    <n v="13"/>
    <n v="44"/>
    <n v="44"/>
    <n v="47"/>
    <n v="28"/>
    <n v="43"/>
    <n v="19"/>
    <n v="20"/>
    <n v="39"/>
    <n v="8"/>
    <n v="31"/>
    <n v="43"/>
    <n v="24"/>
    <n v="18"/>
    <n v="48"/>
    <n v="15"/>
    <n v="25"/>
    <n v="10"/>
    <n v="33"/>
    <n v="47"/>
    <n v="6"/>
    <n v="30"/>
    <n v="43"/>
    <n v="28"/>
    <n v="6"/>
    <n v="18"/>
    <n v="48"/>
    <n v="3"/>
    <n v="38"/>
    <n v="24"/>
    <n v="1"/>
    <n v="11"/>
    <n v="33"/>
    <n v="17"/>
    <n v="49"/>
    <n v="27"/>
    <n v="26"/>
    <n v="8"/>
    <n v="11"/>
    <n v="41"/>
    <n v="43"/>
    <n v="106646"/>
    <n v="5499"/>
  </r>
  <r>
    <d v="2024-05-22T00:00:00"/>
    <x v="4"/>
    <n v="5"/>
    <n v="783"/>
    <n v="697"/>
    <n v="23"/>
    <n v="6"/>
    <n v="49"/>
    <n v="36"/>
    <n v="30"/>
    <n v="7"/>
    <n v="16"/>
    <n v="0"/>
    <n v="44"/>
    <n v="21"/>
    <n v="27"/>
    <n v="20"/>
    <n v="40"/>
    <n v="8"/>
    <n v="10"/>
    <n v="16"/>
    <n v="35"/>
    <n v="15"/>
    <n v="27"/>
    <n v="31"/>
    <n v="20"/>
    <n v="8"/>
    <n v="22"/>
    <n v="2"/>
    <n v="24"/>
    <n v="26"/>
    <n v="20"/>
    <n v="47"/>
    <n v="26"/>
    <n v="36"/>
    <n v="15"/>
    <n v="15"/>
    <n v="32"/>
    <n v="1"/>
    <n v="18"/>
    <n v="42"/>
    <n v="10"/>
    <n v="33"/>
    <n v="34"/>
    <n v="30"/>
    <n v="48"/>
    <n v="16"/>
    <n v="36"/>
    <n v="49"/>
    <n v="45"/>
    <n v="20"/>
    <n v="0"/>
    <n v="47"/>
    <n v="19"/>
    <n v="33"/>
    <n v="29"/>
    <n v="18"/>
    <n v="107197"/>
    <n v="5511"/>
  </r>
  <r>
    <d v="2024-05-23T00:00:00"/>
    <x v="4"/>
    <n v="5"/>
    <n v="785"/>
    <n v="697"/>
    <n v="15"/>
    <n v="41"/>
    <n v="19"/>
    <n v="49"/>
    <n v="42"/>
    <n v="3"/>
    <n v="3"/>
    <n v="17"/>
    <n v="5"/>
    <n v="7"/>
    <n v="32"/>
    <n v="42"/>
    <n v="1"/>
    <n v="17"/>
    <n v="33"/>
    <n v="34"/>
    <n v="2"/>
    <n v="4"/>
    <n v="6"/>
    <n v="4"/>
    <n v="10"/>
    <n v="11"/>
    <n v="46"/>
    <n v="42"/>
    <n v="2"/>
    <n v="21"/>
    <n v="48"/>
    <n v="20"/>
    <n v="19"/>
    <n v="25"/>
    <n v="34"/>
    <n v="21"/>
    <n v="24"/>
    <n v="12"/>
    <n v="46"/>
    <n v="44"/>
    <n v="27"/>
    <n v="45"/>
    <n v="6"/>
    <n v="45"/>
    <n v="1"/>
    <n v="49"/>
    <n v="5"/>
    <n v="8"/>
    <n v="14"/>
    <n v="19"/>
    <n v="35"/>
    <n v="47"/>
    <n v="15"/>
    <n v="41"/>
    <n v="36"/>
    <n v="27"/>
    <n v="107747"/>
    <n v="5523"/>
  </r>
  <r>
    <d v="2024-05-24T00:00:00"/>
    <x v="4"/>
    <n v="5"/>
    <n v="786"/>
    <n v="698"/>
    <n v="28"/>
    <n v="28"/>
    <n v="43"/>
    <n v="26"/>
    <n v="17"/>
    <n v="8"/>
    <n v="38"/>
    <n v="35"/>
    <n v="37"/>
    <n v="45"/>
    <n v="20"/>
    <n v="40"/>
    <n v="0"/>
    <n v="27"/>
    <n v="22"/>
    <n v="32"/>
    <n v="25"/>
    <n v="20"/>
    <n v="31"/>
    <n v="9"/>
    <n v="39"/>
    <n v="40"/>
    <n v="19"/>
    <n v="42"/>
    <n v="41"/>
    <n v="1"/>
    <n v="3"/>
    <n v="30"/>
    <n v="17"/>
    <n v="7"/>
    <n v="19"/>
    <n v="44"/>
    <n v="10"/>
    <n v="43"/>
    <n v="28"/>
    <n v="39"/>
    <n v="35"/>
    <n v="38"/>
    <n v="23"/>
    <n v="42"/>
    <n v="42"/>
    <n v="31"/>
    <n v="41"/>
    <n v="37"/>
    <n v="36"/>
    <n v="16"/>
    <n v="39"/>
    <n v="32"/>
    <n v="16"/>
    <n v="10"/>
    <n v="40"/>
    <n v="1"/>
    <n v="108298"/>
    <n v="5535"/>
  </r>
  <r>
    <d v="2024-05-25T00:00:00"/>
    <x v="4"/>
    <n v="5"/>
    <n v="788"/>
    <n v="699"/>
    <n v="13"/>
    <n v="16"/>
    <n v="3"/>
    <n v="17"/>
    <n v="26"/>
    <n v="44"/>
    <n v="28"/>
    <n v="15"/>
    <n v="18"/>
    <n v="5"/>
    <n v="13"/>
    <n v="26"/>
    <n v="18"/>
    <n v="45"/>
    <n v="9"/>
    <n v="0"/>
    <n v="17"/>
    <n v="38"/>
    <n v="10"/>
    <n v="2"/>
    <n v="4"/>
    <n v="26"/>
    <n v="47"/>
    <n v="39"/>
    <n v="43"/>
    <n v="6"/>
    <n v="49"/>
    <n v="36"/>
    <n v="31"/>
    <n v="22"/>
    <n v="15"/>
    <n v="23"/>
    <n v="40"/>
    <n v="40"/>
    <n v="43"/>
    <n v="24"/>
    <n v="47"/>
    <n v="1"/>
    <n v="25"/>
    <n v="40"/>
    <n v="13"/>
    <n v="49"/>
    <n v="46"/>
    <n v="0"/>
    <n v="49"/>
    <n v="18"/>
    <n v="27"/>
    <n v="0"/>
    <n v="10"/>
    <n v="11"/>
    <n v="37"/>
    <n v="36"/>
    <n v="108849"/>
    <n v="5547"/>
  </r>
  <r>
    <d v="2024-05-26T00:00:00"/>
    <x v="4"/>
    <n v="5"/>
    <n v="790"/>
    <n v="700"/>
    <n v="44"/>
    <n v="7"/>
    <n v="19"/>
    <n v="27"/>
    <n v="1"/>
    <n v="9"/>
    <n v="33"/>
    <n v="37"/>
    <n v="34"/>
    <n v="32"/>
    <n v="10"/>
    <n v="45"/>
    <n v="49"/>
    <n v="41"/>
    <n v="5"/>
    <n v="27"/>
    <n v="28"/>
    <n v="9"/>
    <n v="19"/>
    <n v="14"/>
    <n v="27"/>
    <n v="43"/>
    <n v="32"/>
    <n v="17"/>
    <n v="29"/>
    <n v="22"/>
    <n v="34"/>
    <n v="39"/>
    <n v="11"/>
    <n v="20"/>
    <n v="10"/>
    <n v="13"/>
    <n v="9"/>
    <n v="32"/>
    <n v="30"/>
    <n v="27"/>
    <n v="34"/>
    <n v="19"/>
    <n v="47"/>
    <n v="38"/>
    <n v="39"/>
    <n v="14"/>
    <n v="24"/>
    <n v="1"/>
    <n v="37"/>
    <n v="18"/>
    <n v="18"/>
    <n v="44"/>
    <n v="7"/>
    <n v="30"/>
    <n v="24"/>
    <n v="2"/>
    <n v="109400"/>
    <n v="5560"/>
  </r>
  <r>
    <d v="2024-05-27T00:00:00"/>
    <x v="4"/>
    <n v="5"/>
    <n v="791"/>
    <n v="700"/>
    <n v="41"/>
    <n v="44"/>
    <n v="28"/>
    <n v="34"/>
    <n v="41"/>
    <n v="15"/>
    <n v="28"/>
    <n v="44"/>
    <n v="12"/>
    <n v="19"/>
    <n v="29"/>
    <n v="18"/>
    <n v="26"/>
    <n v="38"/>
    <n v="4"/>
    <n v="28"/>
    <n v="42"/>
    <n v="14"/>
    <n v="20"/>
    <n v="13"/>
    <n v="34"/>
    <n v="22"/>
    <n v="8"/>
    <n v="37"/>
    <n v="12"/>
    <n v="5"/>
    <n v="25"/>
    <n v="18"/>
    <n v="28"/>
    <n v="8"/>
    <n v="42"/>
    <n v="24"/>
    <n v="16"/>
    <n v="29"/>
    <n v="30"/>
    <n v="39"/>
    <n v="25"/>
    <n v="9"/>
    <n v="49"/>
    <n v="0"/>
    <n v="12"/>
    <n v="41"/>
    <n v="21"/>
    <n v="2"/>
    <n v="20"/>
    <n v="45"/>
    <n v="18"/>
    <n v="27"/>
    <n v="37"/>
    <n v="28"/>
    <n v="13"/>
    <n v="6"/>
    <n v="109950"/>
    <n v="5572"/>
  </r>
  <r>
    <d v="2024-05-28T00:00:00"/>
    <x v="4"/>
    <n v="5"/>
    <n v="793"/>
    <n v="701"/>
    <n v="1"/>
    <n v="18"/>
    <n v="44"/>
    <n v="49"/>
    <n v="43"/>
    <n v="25"/>
    <n v="7"/>
    <n v="22"/>
    <n v="18"/>
    <n v="28"/>
    <n v="26"/>
    <n v="12"/>
    <n v="7"/>
    <n v="41"/>
    <n v="30"/>
    <n v="42"/>
    <n v="44"/>
    <n v="48"/>
    <n v="27"/>
    <n v="33"/>
    <n v="26"/>
    <n v="39"/>
    <n v="39"/>
    <n v="11"/>
    <n v="33"/>
    <n v="48"/>
    <n v="32"/>
    <n v="5"/>
    <n v="24"/>
    <n v="38"/>
    <n v="1"/>
    <n v="22"/>
    <n v="38"/>
    <n v="45"/>
    <n v="15"/>
    <n v="40"/>
    <n v="12"/>
    <n v="35"/>
    <n v="45"/>
    <n v="32"/>
    <n v="46"/>
    <n v="26"/>
    <n v="34"/>
    <n v="9"/>
    <n v="46"/>
    <n v="5"/>
    <n v="14"/>
    <n v="8"/>
    <n v="2"/>
    <n v="6"/>
    <n v="28"/>
    <n v="25"/>
    <n v="110501"/>
    <n v="5584"/>
  </r>
  <r>
    <d v="2024-05-29T00:00:00"/>
    <x v="4"/>
    <n v="5"/>
    <n v="794"/>
    <n v="702"/>
    <n v="36"/>
    <n v="29"/>
    <n v="41"/>
    <n v="13"/>
    <n v="33"/>
    <n v="25"/>
    <n v="49"/>
    <n v="49"/>
    <n v="19"/>
    <n v="45"/>
    <n v="38"/>
    <n v="39"/>
    <n v="5"/>
    <n v="43"/>
    <n v="31"/>
    <n v="6"/>
    <n v="22"/>
    <n v="11"/>
    <n v="5"/>
    <n v="2"/>
    <n v="28"/>
    <n v="47"/>
    <n v="38"/>
    <n v="41"/>
    <n v="48"/>
    <n v="4"/>
    <n v="20"/>
    <n v="25"/>
    <n v="19"/>
    <n v="8"/>
    <n v="20"/>
    <n v="0"/>
    <n v="37"/>
    <n v="33"/>
    <n v="43"/>
    <n v="28"/>
    <n v="1"/>
    <n v="33"/>
    <n v="32"/>
    <n v="30"/>
    <n v="20"/>
    <n v="49"/>
    <n v="9"/>
    <n v="34"/>
    <n v="25"/>
    <n v="15"/>
    <n v="1"/>
    <n v="41"/>
    <n v="36"/>
    <n v="20"/>
    <n v="40"/>
    <n v="19"/>
    <n v="111052"/>
    <n v="5596"/>
  </r>
  <r>
    <d v="2024-05-30T00:00:00"/>
    <x v="4"/>
    <n v="5"/>
    <n v="796"/>
    <n v="702"/>
    <n v="10"/>
    <n v="10"/>
    <n v="6"/>
    <n v="46"/>
    <n v="26"/>
    <n v="8"/>
    <n v="28"/>
    <n v="32"/>
    <n v="28"/>
    <n v="10"/>
    <n v="37"/>
    <n v="8"/>
    <n v="8"/>
    <n v="3"/>
    <n v="40"/>
    <n v="16"/>
    <n v="26"/>
    <n v="16"/>
    <n v="19"/>
    <n v="26"/>
    <n v="21"/>
    <n v="2"/>
    <n v="29"/>
    <n v="44"/>
    <n v="36"/>
    <n v="47"/>
    <n v="14"/>
    <n v="29"/>
    <n v="2"/>
    <n v="22"/>
    <n v="46"/>
    <n v="37"/>
    <n v="12"/>
    <n v="13"/>
    <n v="22"/>
    <n v="43"/>
    <n v="35"/>
    <n v="24"/>
    <n v="14"/>
    <n v="21"/>
    <n v="44"/>
    <n v="0"/>
    <n v="37"/>
    <n v="33"/>
    <n v="11"/>
    <n v="30"/>
    <n v="28"/>
    <n v="0"/>
    <n v="21"/>
    <n v="25"/>
    <n v="38"/>
    <n v="21"/>
    <n v="111602"/>
    <n v="5608"/>
  </r>
  <r>
    <d v="2024-05-31T00:00:00"/>
    <x v="4"/>
    <n v="5"/>
    <n v="798"/>
    <n v="703"/>
    <n v="43"/>
    <n v="41"/>
    <n v="21"/>
    <n v="25"/>
    <n v="23"/>
    <n v="13"/>
    <n v="49"/>
    <n v="17"/>
    <n v="32"/>
    <n v="13"/>
    <n v="27"/>
    <n v="3"/>
    <n v="10"/>
    <n v="38"/>
    <n v="5"/>
    <n v="3"/>
    <n v="2"/>
    <n v="46"/>
    <n v="24"/>
    <n v="39"/>
    <n v="0"/>
    <n v="15"/>
    <n v="36"/>
    <n v="9"/>
    <n v="40"/>
    <n v="48"/>
    <n v="15"/>
    <n v="20"/>
    <n v="5"/>
    <n v="44"/>
    <n v="15"/>
    <n v="20"/>
    <n v="15"/>
    <n v="41"/>
    <n v="46"/>
    <n v="46"/>
    <n v="41"/>
    <n v="7"/>
    <n v="48"/>
    <n v="5"/>
    <n v="34"/>
    <n v="29"/>
    <n v="31"/>
    <n v="47"/>
    <n v="2"/>
    <n v="10"/>
    <n v="46"/>
    <n v="26"/>
    <n v="39"/>
    <n v="38"/>
    <n v="19"/>
    <n v="42"/>
    <n v="112153"/>
    <n v="5620"/>
  </r>
  <r>
    <d v="2024-06-01T00:00:00"/>
    <x v="5"/>
    <n v="6"/>
    <n v="799"/>
    <n v="704"/>
    <n v="4"/>
    <n v="1"/>
    <n v="48"/>
    <n v="47"/>
    <n v="39"/>
    <n v="40"/>
    <n v="7"/>
    <n v="5"/>
    <n v="26"/>
    <n v="34"/>
    <n v="45"/>
    <n v="24"/>
    <n v="8"/>
    <n v="17"/>
    <n v="32"/>
    <n v="46"/>
    <n v="10"/>
    <n v="11"/>
    <n v="20"/>
    <n v="26"/>
    <n v="43"/>
    <n v="9"/>
    <n v="20"/>
    <n v="22"/>
    <n v="24"/>
    <n v="46"/>
    <n v="34"/>
    <n v="33"/>
    <n v="6"/>
    <n v="34"/>
    <n v="11"/>
    <n v="30"/>
    <n v="23"/>
    <n v="41"/>
    <n v="28"/>
    <n v="33"/>
    <n v="39"/>
    <n v="28"/>
    <n v="28"/>
    <n v="23"/>
    <n v="44"/>
    <n v="13"/>
    <n v="12"/>
    <n v="24"/>
    <n v="40"/>
    <n v="32"/>
    <n v="12"/>
    <n v="31"/>
    <n v="42"/>
    <n v="37"/>
    <n v="31"/>
    <n v="13"/>
    <n v="112704"/>
    <n v="5632"/>
  </r>
  <r>
    <d v="2024-06-02T00:00:00"/>
    <x v="5"/>
    <n v="6"/>
    <n v="801"/>
    <n v="704"/>
    <n v="8"/>
    <n v="10"/>
    <n v="0"/>
    <n v="45"/>
    <n v="17"/>
    <n v="22"/>
    <n v="38"/>
    <n v="23"/>
    <n v="41"/>
    <n v="1"/>
    <n v="13"/>
    <n v="35"/>
    <n v="11"/>
    <n v="16"/>
    <n v="10"/>
    <n v="8"/>
    <n v="10"/>
    <n v="39"/>
    <n v="28"/>
    <n v="44"/>
    <n v="0"/>
    <n v="20"/>
    <n v="39"/>
    <n v="28"/>
    <n v="36"/>
    <n v="1"/>
    <n v="19"/>
    <n v="7"/>
    <n v="8"/>
    <n v="14"/>
    <n v="34"/>
    <n v="18"/>
    <n v="2"/>
    <n v="1"/>
    <n v="35"/>
    <n v="31"/>
    <n v="38"/>
    <n v="10"/>
    <n v="25"/>
    <n v="28"/>
    <n v="41"/>
    <n v="12"/>
    <n v="46"/>
    <n v="17"/>
    <n v="5"/>
    <n v="12"/>
    <n v="35"/>
    <n v="22"/>
    <n v="18"/>
    <n v="25"/>
    <n v="4"/>
    <n v="41"/>
    <n v="113254"/>
    <n v="5644"/>
  </r>
  <r>
    <d v="2024-06-03T00:00:00"/>
    <x v="5"/>
    <n v="6"/>
    <n v="803"/>
    <n v="705"/>
    <n v="38"/>
    <n v="38"/>
    <n v="48"/>
    <n v="7"/>
    <n v="34"/>
    <n v="47"/>
    <n v="34"/>
    <n v="24"/>
    <n v="2"/>
    <n v="17"/>
    <n v="44"/>
    <n v="43"/>
    <n v="45"/>
    <n v="4"/>
    <n v="47"/>
    <n v="18"/>
    <n v="10"/>
    <n v="15"/>
    <n v="29"/>
    <n v="43"/>
    <n v="42"/>
    <n v="39"/>
    <n v="32"/>
    <n v="29"/>
    <n v="36"/>
    <n v="47"/>
    <n v="8"/>
    <n v="38"/>
    <n v="11"/>
    <n v="15"/>
    <n v="8"/>
    <n v="31"/>
    <n v="0"/>
    <n v="6"/>
    <n v="9"/>
    <n v="7"/>
    <n v="3"/>
    <n v="10"/>
    <n v="10"/>
    <n v="24"/>
    <n v="8"/>
    <n v="0"/>
    <n v="23"/>
    <n v="49"/>
    <n v="26"/>
    <n v="34"/>
    <n v="34"/>
    <n v="42"/>
    <n v="1"/>
    <n v="0"/>
    <n v="25"/>
    <n v="27"/>
    <n v="113805"/>
    <n v="5656"/>
  </r>
  <r>
    <d v="2024-06-04T00:00:00"/>
    <x v="5"/>
    <n v="6"/>
    <n v="804"/>
    <n v="706"/>
    <n v="1"/>
    <n v="0"/>
    <n v="22"/>
    <n v="6"/>
    <n v="19"/>
    <n v="30"/>
    <n v="4"/>
    <n v="3"/>
    <n v="49"/>
    <n v="26"/>
    <n v="0"/>
    <n v="46"/>
    <n v="0"/>
    <n v="35"/>
    <n v="2"/>
    <n v="8"/>
    <n v="49"/>
    <n v="40"/>
    <n v="4"/>
    <n v="8"/>
    <n v="47"/>
    <n v="14"/>
    <n v="22"/>
    <n v="4"/>
    <n v="27"/>
    <n v="25"/>
    <n v="35"/>
    <n v="9"/>
    <n v="41"/>
    <n v="7"/>
    <n v="34"/>
    <n v="5"/>
    <n v="38"/>
    <n v="4"/>
    <n v="18"/>
    <n v="1"/>
    <n v="29"/>
    <n v="45"/>
    <n v="27"/>
    <n v="29"/>
    <n v="35"/>
    <n v="30"/>
    <n v="32"/>
    <n v="40"/>
    <n v="30"/>
    <n v="18"/>
    <n v="43"/>
    <n v="41"/>
    <n v="28"/>
    <n v="21"/>
    <n v="8"/>
    <n v="34"/>
    <n v="114356"/>
    <n v="5668"/>
  </r>
  <r>
    <d v="2024-06-05T00:00:00"/>
    <x v="5"/>
    <n v="6"/>
    <n v="806"/>
    <n v="706"/>
    <n v="47"/>
    <n v="12"/>
    <n v="27"/>
    <n v="43"/>
    <n v="12"/>
    <n v="18"/>
    <n v="7"/>
    <n v="44"/>
    <n v="18"/>
    <n v="19"/>
    <n v="7"/>
    <n v="40"/>
    <n v="15"/>
    <n v="21"/>
    <n v="48"/>
    <n v="16"/>
    <n v="39"/>
    <n v="10"/>
    <n v="31"/>
    <n v="43"/>
    <n v="27"/>
    <n v="46"/>
    <n v="3"/>
    <n v="38"/>
    <n v="26"/>
    <n v="22"/>
    <n v="32"/>
    <n v="22"/>
    <n v="5"/>
    <n v="25"/>
    <n v="8"/>
    <n v="35"/>
    <n v="38"/>
    <n v="13"/>
    <n v="26"/>
    <n v="12"/>
    <n v="8"/>
    <n v="47"/>
    <n v="1"/>
    <n v="21"/>
    <n v="8"/>
    <n v="4"/>
    <n v="36"/>
    <n v="39"/>
    <n v="14"/>
    <n v="34"/>
    <n v="35"/>
    <n v="46"/>
    <n v="47"/>
    <n v="32"/>
    <n v="26"/>
    <n v="31"/>
    <n v="114906"/>
    <n v="5680"/>
  </r>
  <r>
    <d v="2024-06-06T00:00:00"/>
    <x v="5"/>
    <n v="6"/>
    <n v="808"/>
    <n v="707"/>
    <n v="7"/>
    <n v="16"/>
    <n v="49"/>
    <n v="43"/>
    <n v="32"/>
    <n v="21"/>
    <n v="46"/>
    <n v="11"/>
    <n v="9"/>
    <n v="16"/>
    <n v="30"/>
    <n v="38"/>
    <n v="36"/>
    <n v="18"/>
    <n v="37"/>
    <n v="16"/>
    <n v="14"/>
    <n v="25"/>
    <n v="9"/>
    <n v="37"/>
    <n v="45"/>
    <n v="3"/>
    <n v="10"/>
    <n v="4"/>
    <n v="9"/>
    <n v="28"/>
    <n v="12"/>
    <n v="31"/>
    <n v="19"/>
    <n v="21"/>
    <n v="5"/>
    <n v="1"/>
    <n v="42"/>
    <n v="3"/>
    <n v="1"/>
    <n v="15"/>
    <n v="34"/>
    <n v="14"/>
    <n v="10"/>
    <n v="10"/>
    <n v="45"/>
    <n v="28"/>
    <n v="37"/>
    <n v="12"/>
    <n v="13"/>
    <n v="13"/>
    <n v="42"/>
    <n v="38"/>
    <n v="43"/>
    <n v="10"/>
    <n v="43"/>
    <n v="18"/>
    <n v="115457"/>
    <n v="5692"/>
  </r>
  <r>
    <d v="2024-06-07T00:00:00"/>
    <x v="5"/>
    <n v="6"/>
    <n v="809"/>
    <n v="708"/>
    <n v="20"/>
    <n v="15"/>
    <n v="49"/>
    <n v="48"/>
    <n v="8"/>
    <n v="41"/>
    <n v="33"/>
    <n v="22"/>
    <n v="35"/>
    <n v="29"/>
    <n v="4"/>
    <n v="36"/>
    <n v="11"/>
    <n v="4"/>
    <n v="29"/>
    <n v="1"/>
    <n v="21"/>
    <n v="10"/>
    <n v="45"/>
    <n v="6"/>
    <n v="14"/>
    <n v="28"/>
    <n v="8"/>
    <n v="17"/>
    <n v="18"/>
    <n v="17"/>
    <n v="27"/>
    <n v="31"/>
    <n v="26"/>
    <n v="23"/>
    <n v="15"/>
    <n v="18"/>
    <n v="45"/>
    <n v="22"/>
    <n v="10"/>
    <n v="44"/>
    <n v="35"/>
    <n v="25"/>
    <n v="39"/>
    <n v="17"/>
    <n v="36"/>
    <n v="42"/>
    <n v="29"/>
    <n v="10"/>
    <n v="43"/>
    <n v="23"/>
    <n v="23"/>
    <n v="13"/>
    <n v="20"/>
    <n v="30"/>
    <n v="6"/>
    <n v="5"/>
    <n v="116008"/>
    <n v="5704"/>
  </r>
  <r>
    <d v="2024-06-08T00:00:00"/>
    <x v="5"/>
    <n v="6"/>
    <n v="811"/>
    <n v="708"/>
    <n v="16"/>
    <n v="48"/>
    <n v="5"/>
    <n v="10"/>
    <n v="44"/>
    <n v="6"/>
    <n v="36"/>
    <n v="45"/>
    <n v="41"/>
    <n v="44"/>
    <n v="2"/>
    <n v="26"/>
    <n v="26"/>
    <n v="22"/>
    <n v="3"/>
    <n v="0"/>
    <n v="48"/>
    <n v="32"/>
    <n v="12"/>
    <n v="49"/>
    <n v="29"/>
    <n v="42"/>
    <n v="12"/>
    <n v="35"/>
    <n v="32"/>
    <n v="27"/>
    <n v="48"/>
    <n v="3"/>
    <n v="48"/>
    <n v="49"/>
    <n v="39"/>
    <n v="23"/>
    <n v="15"/>
    <n v="24"/>
    <n v="0"/>
    <n v="18"/>
    <n v="18"/>
    <n v="19"/>
    <n v="16"/>
    <n v="36"/>
    <n v="22"/>
    <n v="23"/>
    <n v="17"/>
    <n v="19"/>
    <n v="15"/>
    <n v="45"/>
    <n v="2"/>
    <n v="20"/>
    <n v="1"/>
    <n v="8"/>
    <n v="7"/>
    <n v="25"/>
    <n v="116558"/>
    <n v="5716"/>
  </r>
  <r>
    <d v="2024-06-09T00:00:00"/>
    <x v="5"/>
    <n v="6"/>
    <n v="813"/>
    <n v="709"/>
    <n v="7"/>
    <n v="44"/>
    <n v="5"/>
    <n v="22"/>
    <n v="8"/>
    <n v="3"/>
    <n v="30"/>
    <n v="25"/>
    <n v="30"/>
    <n v="37"/>
    <n v="13"/>
    <n v="17"/>
    <n v="46"/>
    <n v="23"/>
    <n v="33"/>
    <n v="43"/>
    <n v="23"/>
    <n v="20"/>
    <n v="25"/>
    <n v="1"/>
    <n v="39"/>
    <n v="28"/>
    <n v="27"/>
    <n v="10"/>
    <n v="19"/>
    <n v="7"/>
    <n v="8"/>
    <n v="21"/>
    <n v="23"/>
    <n v="37"/>
    <n v="19"/>
    <n v="35"/>
    <n v="32"/>
    <n v="41"/>
    <n v="34"/>
    <n v="11"/>
    <n v="11"/>
    <n v="21"/>
    <n v="40"/>
    <n v="30"/>
    <n v="18"/>
    <n v="40"/>
    <n v="27"/>
    <n v="35"/>
    <n v="19"/>
    <n v="28"/>
    <n v="4"/>
    <n v="36"/>
    <n v="26"/>
    <n v="30"/>
    <n v="17"/>
    <n v="12"/>
    <n v="117109"/>
    <n v="5728"/>
  </r>
  <r>
    <d v="2024-06-10T00:00:00"/>
    <x v="5"/>
    <n v="6"/>
    <n v="814"/>
    <n v="710"/>
    <n v="46"/>
    <n v="49"/>
    <n v="19"/>
    <n v="14"/>
    <n v="26"/>
    <n v="41"/>
    <n v="29"/>
    <n v="29"/>
    <n v="6"/>
    <n v="26"/>
    <n v="37"/>
    <n v="17"/>
    <n v="44"/>
    <n v="19"/>
    <n v="23"/>
    <n v="46"/>
    <n v="39"/>
    <n v="34"/>
    <n v="21"/>
    <n v="5"/>
    <n v="25"/>
    <n v="33"/>
    <n v="16"/>
    <n v="10"/>
    <n v="33"/>
    <n v="39"/>
    <n v="32"/>
    <n v="15"/>
    <n v="45"/>
    <n v="42"/>
    <n v="41"/>
    <n v="18"/>
    <n v="10"/>
    <n v="34"/>
    <n v="26"/>
    <n v="24"/>
    <n v="42"/>
    <n v="16"/>
    <n v="25"/>
    <n v="24"/>
    <n v="47"/>
    <n v="19"/>
    <n v="42"/>
    <n v="45"/>
    <n v="48"/>
    <n v="16"/>
    <n v="28"/>
    <n v="39"/>
    <n v="36"/>
    <n v="6"/>
    <n v="30"/>
    <n v="32"/>
    <n v="117660"/>
    <n v="5740"/>
  </r>
  <r>
    <d v="2024-06-11T00:00:00"/>
    <x v="5"/>
    <n v="6"/>
    <n v="816"/>
    <n v="710"/>
    <n v="45"/>
    <n v="11"/>
    <n v="23"/>
    <n v="39"/>
    <n v="44"/>
    <n v="34"/>
    <n v="14"/>
    <n v="40"/>
    <n v="18"/>
    <n v="26"/>
    <n v="26"/>
    <n v="30"/>
    <n v="11"/>
    <n v="11"/>
    <n v="22"/>
    <n v="18"/>
    <n v="38"/>
    <n v="34"/>
    <n v="48"/>
    <n v="0"/>
    <n v="38"/>
    <n v="41"/>
    <n v="46"/>
    <n v="23"/>
    <n v="2"/>
    <n v="47"/>
    <n v="31"/>
    <n v="6"/>
    <n v="35"/>
    <n v="45"/>
    <n v="49"/>
    <n v="32"/>
    <n v="38"/>
    <n v="3"/>
    <n v="43"/>
    <n v="37"/>
    <n v="15"/>
    <n v="31"/>
    <n v="13"/>
    <n v="20"/>
    <n v="18"/>
    <n v="25"/>
    <n v="1"/>
    <n v="7"/>
    <n v="35"/>
    <n v="12"/>
    <n v="30"/>
    <n v="44"/>
    <n v="47"/>
    <n v="27"/>
    <n v="22"/>
    <n v="37"/>
    <n v="118210"/>
    <n v="5752"/>
  </r>
  <r>
    <d v="2024-06-12T00:00:00"/>
    <x v="5"/>
    <n v="6"/>
    <n v="817"/>
    <n v="711"/>
    <n v="17"/>
    <n v="38"/>
    <n v="39"/>
    <n v="17"/>
    <n v="7"/>
    <n v="41"/>
    <n v="40"/>
    <n v="44"/>
    <n v="9"/>
    <n v="21"/>
    <n v="37"/>
    <n v="8"/>
    <n v="28"/>
    <n v="26"/>
    <n v="19"/>
    <n v="21"/>
    <n v="11"/>
    <n v="17"/>
    <n v="47"/>
    <n v="10"/>
    <n v="26"/>
    <n v="17"/>
    <n v="1"/>
    <n v="46"/>
    <n v="23"/>
    <n v="19"/>
    <n v="29"/>
    <n v="24"/>
    <n v="48"/>
    <n v="37"/>
    <n v="11"/>
    <n v="3"/>
    <n v="28"/>
    <n v="30"/>
    <n v="23"/>
    <n v="0"/>
    <n v="9"/>
    <n v="11"/>
    <n v="47"/>
    <n v="2"/>
    <n v="13"/>
    <n v="37"/>
    <n v="2"/>
    <n v="12"/>
    <n v="41"/>
    <n v="37"/>
    <n v="35"/>
    <n v="22"/>
    <n v="16"/>
    <n v="35"/>
    <n v="5"/>
    <n v="48"/>
    <n v="118761"/>
    <n v="5764"/>
  </r>
  <r>
    <d v="2024-06-13T00:00:00"/>
    <x v="5"/>
    <n v="6"/>
    <n v="819"/>
    <n v="712"/>
    <n v="25"/>
    <n v="10"/>
    <n v="16"/>
    <n v="44"/>
    <n v="40"/>
    <n v="0"/>
    <n v="18"/>
    <n v="30"/>
    <n v="32"/>
    <n v="26"/>
    <n v="35"/>
    <n v="43"/>
    <n v="8"/>
    <n v="47"/>
    <n v="12"/>
    <n v="17"/>
    <n v="25"/>
    <n v="46"/>
    <n v="15"/>
    <n v="9"/>
    <n v="28"/>
    <n v="21"/>
    <n v="3"/>
    <n v="45"/>
    <n v="26"/>
    <n v="0"/>
    <n v="43"/>
    <n v="7"/>
    <n v="45"/>
    <n v="36"/>
    <n v="32"/>
    <n v="21"/>
    <n v="19"/>
    <n v="21"/>
    <n v="40"/>
    <n v="16"/>
    <n v="29"/>
    <n v="29"/>
    <n v="28"/>
    <n v="11"/>
    <n v="8"/>
    <n v="12"/>
    <n v="33"/>
    <n v="14"/>
    <n v="37"/>
    <n v="21"/>
    <n v="45"/>
    <n v="1"/>
    <n v="16"/>
    <n v="45"/>
    <n v="43"/>
    <n v="9"/>
    <n v="119312"/>
    <n v="5776"/>
  </r>
  <r>
    <d v="2024-06-14T00:00:00"/>
    <x v="5"/>
    <n v="6"/>
    <n v="821"/>
    <n v="713"/>
    <n v="48"/>
    <n v="12"/>
    <n v="34"/>
    <n v="29"/>
    <n v="5"/>
    <n v="41"/>
    <n v="42"/>
    <n v="4"/>
    <n v="26"/>
    <n v="46"/>
    <n v="44"/>
    <n v="28"/>
    <n v="46"/>
    <n v="36"/>
    <n v="28"/>
    <n v="30"/>
    <n v="43"/>
    <n v="37"/>
    <n v="16"/>
    <n v="39"/>
    <n v="16"/>
    <n v="40"/>
    <n v="34"/>
    <n v="48"/>
    <n v="6"/>
    <n v="8"/>
    <n v="39"/>
    <n v="46"/>
    <n v="34"/>
    <n v="44"/>
    <n v="34"/>
    <n v="34"/>
    <n v="19"/>
    <n v="47"/>
    <n v="29"/>
    <n v="47"/>
    <n v="12"/>
    <n v="20"/>
    <n v="35"/>
    <n v="24"/>
    <n v="26"/>
    <n v="33"/>
    <n v="9"/>
    <n v="9"/>
    <n v="8"/>
    <n v="29"/>
    <n v="32"/>
    <n v="26"/>
    <n v="14"/>
    <n v="12"/>
    <n v="13"/>
    <n v="31"/>
    <n v="119863"/>
    <n v="5789"/>
  </r>
  <r>
    <d v="2024-06-15T00:00:00"/>
    <x v="5"/>
    <n v="6"/>
    <n v="822"/>
    <n v="713"/>
    <n v="25"/>
    <n v="6"/>
    <n v="0"/>
    <n v="27"/>
    <n v="21"/>
    <n v="36"/>
    <n v="20"/>
    <n v="8"/>
    <n v="33"/>
    <n v="29"/>
    <n v="41"/>
    <n v="19"/>
    <n v="7"/>
    <n v="46"/>
    <n v="33"/>
    <n v="40"/>
    <n v="11"/>
    <n v="28"/>
    <n v="27"/>
    <n v="14"/>
    <n v="34"/>
    <n v="3"/>
    <n v="39"/>
    <n v="36"/>
    <n v="5"/>
    <n v="25"/>
    <n v="33"/>
    <n v="23"/>
    <n v="7"/>
    <n v="32"/>
    <n v="20"/>
    <n v="45"/>
    <n v="25"/>
    <n v="29"/>
    <n v="43"/>
    <n v="0"/>
    <n v="3"/>
    <n v="31"/>
    <n v="36"/>
    <n v="36"/>
    <n v="36"/>
    <n v="31"/>
    <n v="46"/>
    <n v="9"/>
    <n v="14"/>
    <n v="9"/>
    <n v="25"/>
    <n v="38"/>
    <n v="46"/>
    <n v="10"/>
    <n v="45"/>
    <n v="44"/>
    <n v="120413"/>
    <n v="5801"/>
  </r>
  <r>
    <d v="2024-06-16T00:00:00"/>
    <x v="5"/>
    <n v="6"/>
    <n v="824"/>
    <n v="714"/>
    <n v="26"/>
    <n v="14"/>
    <n v="35"/>
    <n v="12"/>
    <n v="48"/>
    <n v="29"/>
    <n v="24"/>
    <n v="49"/>
    <n v="47"/>
    <n v="18"/>
    <n v="27"/>
    <n v="1"/>
    <n v="24"/>
    <n v="17"/>
    <n v="6"/>
    <n v="13"/>
    <n v="21"/>
    <n v="23"/>
    <n v="26"/>
    <n v="24"/>
    <n v="11"/>
    <n v="14"/>
    <n v="36"/>
    <n v="11"/>
    <n v="7"/>
    <n v="35"/>
    <n v="14"/>
    <n v="25"/>
    <n v="9"/>
    <n v="40"/>
    <n v="29"/>
    <n v="5"/>
    <n v="1"/>
    <n v="43"/>
    <n v="41"/>
    <n v="27"/>
    <n v="39"/>
    <n v="6"/>
    <n v="28"/>
    <n v="23"/>
    <n v="9"/>
    <n v="0"/>
    <n v="28"/>
    <n v="29"/>
    <n v="49"/>
    <n v="8"/>
    <n v="39"/>
    <n v="24"/>
    <n v="27"/>
    <n v="5"/>
    <n v="48"/>
    <n v="27"/>
    <n v="120964"/>
    <n v="5813"/>
  </r>
  <r>
    <d v="2024-06-17T00:00:00"/>
    <x v="5"/>
    <n v="6"/>
    <n v="826"/>
    <n v="715"/>
    <n v="36"/>
    <n v="37"/>
    <n v="34"/>
    <n v="0"/>
    <n v="23"/>
    <n v="30"/>
    <n v="28"/>
    <n v="32"/>
    <n v="7"/>
    <n v="5"/>
    <n v="25"/>
    <n v="22"/>
    <n v="36"/>
    <n v="32"/>
    <n v="35"/>
    <n v="34"/>
    <n v="32"/>
    <n v="31"/>
    <n v="15"/>
    <n v="17"/>
    <n v="16"/>
    <n v="8"/>
    <n v="1"/>
    <n v="23"/>
    <n v="1"/>
    <n v="12"/>
    <n v="45"/>
    <n v="22"/>
    <n v="30"/>
    <n v="21"/>
    <n v="33"/>
    <n v="42"/>
    <n v="34"/>
    <n v="3"/>
    <n v="12"/>
    <n v="7"/>
    <n v="34"/>
    <n v="11"/>
    <n v="4"/>
    <n v="46"/>
    <n v="12"/>
    <n v="4"/>
    <n v="6"/>
    <n v="39"/>
    <n v="2"/>
    <n v="9"/>
    <n v="45"/>
    <n v="10"/>
    <n v="29"/>
    <n v="45"/>
    <n v="38"/>
    <n v="39"/>
    <n v="121515"/>
    <n v="5825"/>
  </r>
  <r>
    <d v="2024-06-18T00:00:00"/>
    <x v="5"/>
    <n v="6"/>
    <n v="827"/>
    <n v="715"/>
    <n v="46"/>
    <n v="10"/>
    <n v="29"/>
    <n v="30"/>
    <n v="0"/>
    <n v="24"/>
    <n v="9"/>
    <n v="24"/>
    <n v="28"/>
    <n v="8"/>
    <n v="2"/>
    <n v="20"/>
    <n v="47"/>
    <n v="26"/>
    <n v="3"/>
    <n v="23"/>
    <n v="2"/>
    <n v="36"/>
    <n v="0"/>
    <n v="23"/>
    <n v="34"/>
    <n v="33"/>
    <n v="31"/>
    <n v="13"/>
    <n v="4"/>
    <n v="19"/>
    <n v="47"/>
    <n v="11"/>
    <n v="6"/>
    <n v="42"/>
    <n v="39"/>
    <n v="44"/>
    <n v="41"/>
    <n v="46"/>
    <n v="22"/>
    <n v="12"/>
    <n v="8"/>
    <n v="15"/>
    <n v="4"/>
    <n v="40"/>
    <n v="7"/>
    <n v="10"/>
    <n v="29"/>
    <n v="12"/>
    <n v="46"/>
    <n v="36"/>
    <n v="31"/>
    <n v="10"/>
    <n v="16"/>
    <n v="31"/>
    <n v="8"/>
    <n v="45"/>
    <n v="122065"/>
    <n v="5837"/>
  </r>
  <r>
    <d v="2024-06-19T00:00:00"/>
    <x v="5"/>
    <n v="6"/>
    <n v="829"/>
    <n v="716"/>
    <n v="32"/>
    <n v="30"/>
    <n v="9"/>
    <n v="21"/>
    <n v="30"/>
    <n v="40"/>
    <n v="13"/>
    <n v="45"/>
    <n v="9"/>
    <n v="42"/>
    <n v="3"/>
    <n v="43"/>
    <n v="11"/>
    <n v="43"/>
    <n v="19"/>
    <n v="4"/>
    <n v="23"/>
    <n v="29"/>
    <n v="2"/>
    <n v="31"/>
    <n v="25"/>
    <n v="35"/>
    <n v="40"/>
    <n v="28"/>
    <n v="16"/>
    <n v="9"/>
    <n v="3"/>
    <n v="21"/>
    <n v="19"/>
    <n v="33"/>
    <n v="5"/>
    <n v="2"/>
    <n v="13"/>
    <n v="25"/>
    <n v="15"/>
    <n v="44"/>
    <n v="11"/>
    <n v="45"/>
    <n v="22"/>
    <n v="3"/>
    <n v="12"/>
    <n v="28"/>
    <n v="15"/>
    <n v="16"/>
    <n v="42"/>
    <n v="14"/>
    <n v="5"/>
    <n v="14"/>
    <n v="17"/>
    <n v="38"/>
    <n v="38"/>
    <n v="40"/>
    <n v="122616"/>
    <n v="5849"/>
  </r>
  <r>
    <d v="2024-06-20T00:00:00"/>
    <x v="5"/>
    <n v="6"/>
    <n v="831"/>
    <n v="717"/>
    <n v="24"/>
    <n v="35"/>
    <n v="13"/>
    <n v="2"/>
    <n v="7"/>
    <n v="14"/>
    <n v="48"/>
    <n v="25"/>
    <n v="23"/>
    <n v="25"/>
    <n v="26"/>
    <n v="23"/>
    <n v="6"/>
    <n v="1"/>
    <n v="11"/>
    <n v="49"/>
    <n v="34"/>
    <n v="45"/>
    <n v="44"/>
    <n v="9"/>
    <n v="36"/>
    <n v="25"/>
    <n v="31"/>
    <n v="37"/>
    <n v="34"/>
    <n v="37"/>
    <n v="1"/>
    <n v="6"/>
    <n v="8"/>
    <n v="24"/>
    <n v="49"/>
    <n v="15"/>
    <n v="1"/>
    <n v="30"/>
    <n v="17"/>
    <n v="46"/>
    <n v="44"/>
    <n v="29"/>
    <n v="26"/>
    <n v="14"/>
    <n v="30"/>
    <n v="25"/>
    <n v="49"/>
    <n v="20"/>
    <n v="38"/>
    <n v="37"/>
    <n v="33"/>
    <n v="25"/>
    <n v="45"/>
    <n v="13"/>
    <n v="48"/>
    <n v="29"/>
    <n v="123167"/>
    <n v="5861"/>
  </r>
  <r>
    <d v="2024-06-21T00:00:00"/>
    <x v="5"/>
    <n v="6"/>
    <n v="832"/>
    <n v="717"/>
    <n v="46"/>
    <n v="35"/>
    <n v="28"/>
    <n v="24"/>
    <n v="40"/>
    <n v="30"/>
    <n v="48"/>
    <n v="22"/>
    <n v="5"/>
    <n v="8"/>
    <n v="23"/>
    <n v="41"/>
    <n v="4"/>
    <n v="49"/>
    <n v="36"/>
    <n v="11"/>
    <n v="24"/>
    <n v="36"/>
    <n v="10"/>
    <n v="31"/>
    <n v="2"/>
    <n v="30"/>
    <n v="38"/>
    <n v="0"/>
    <n v="27"/>
    <n v="35"/>
    <n v="35"/>
    <n v="43"/>
    <n v="32"/>
    <n v="40"/>
    <n v="44"/>
    <n v="40"/>
    <n v="17"/>
    <n v="4"/>
    <n v="35"/>
    <n v="20"/>
    <n v="9"/>
    <n v="12"/>
    <n v="13"/>
    <n v="45"/>
    <n v="36"/>
    <n v="43"/>
    <n v="45"/>
    <n v="3"/>
    <n v="33"/>
    <n v="26"/>
    <n v="1"/>
    <n v="23"/>
    <n v="39"/>
    <n v="40"/>
    <n v="23"/>
    <n v="15"/>
    <n v="123717"/>
    <n v="5873"/>
  </r>
  <r>
    <d v="2024-06-22T00:00:00"/>
    <x v="5"/>
    <n v="6"/>
    <n v="834"/>
    <n v="718"/>
    <n v="0"/>
    <n v="31"/>
    <n v="30"/>
    <n v="0"/>
    <n v="47"/>
    <n v="31"/>
    <n v="9"/>
    <n v="34"/>
    <n v="18"/>
    <n v="42"/>
    <n v="32"/>
    <n v="9"/>
    <n v="0"/>
    <n v="34"/>
    <n v="12"/>
    <n v="35"/>
    <n v="3"/>
    <n v="22"/>
    <n v="34"/>
    <n v="33"/>
    <n v="36"/>
    <n v="3"/>
    <n v="37"/>
    <n v="32"/>
    <n v="36"/>
    <n v="1"/>
    <n v="27"/>
    <n v="46"/>
    <n v="37"/>
    <n v="4"/>
    <n v="33"/>
    <n v="39"/>
    <n v="40"/>
    <n v="33"/>
    <n v="45"/>
    <n v="42"/>
    <n v="34"/>
    <n v="8"/>
    <n v="46"/>
    <n v="26"/>
    <n v="27"/>
    <n v="35"/>
    <n v="22"/>
    <n v="21"/>
    <n v="32"/>
    <n v="6"/>
    <n v="2"/>
    <n v="9"/>
    <n v="42"/>
    <n v="24"/>
    <n v="47"/>
    <n v="17"/>
    <n v="124268"/>
    <n v="5885"/>
  </r>
  <r>
    <d v="2024-06-23T00:00:00"/>
    <x v="5"/>
    <n v="6"/>
    <n v="836"/>
    <n v="719"/>
    <n v="20"/>
    <n v="9"/>
    <n v="8"/>
    <n v="42"/>
    <n v="15"/>
    <n v="47"/>
    <n v="7"/>
    <n v="3"/>
    <n v="2"/>
    <n v="18"/>
    <n v="9"/>
    <n v="46"/>
    <n v="27"/>
    <n v="31"/>
    <n v="0"/>
    <n v="31"/>
    <n v="14"/>
    <n v="1"/>
    <n v="37"/>
    <n v="5"/>
    <n v="27"/>
    <n v="5"/>
    <n v="39"/>
    <n v="32"/>
    <n v="8"/>
    <n v="15"/>
    <n v="11"/>
    <n v="46"/>
    <n v="1"/>
    <n v="7"/>
    <n v="40"/>
    <n v="39"/>
    <n v="10"/>
    <n v="44"/>
    <n v="48"/>
    <n v="13"/>
    <n v="37"/>
    <n v="46"/>
    <n v="31"/>
    <n v="37"/>
    <n v="30"/>
    <n v="35"/>
    <n v="40"/>
    <n v="25"/>
    <n v="37"/>
    <n v="27"/>
    <n v="47"/>
    <n v="40"/>
    <n v="43"/>
    <n v="13"/>
    <n v="16"/>
    <n v="12"/>
    <n v="124819"/>
    <n v="5897"/>
  </r>
  <r>
    <d v="2024-06-24T00:00:00"/>
    <x v="5"/>
    <n v="6"/>
    <n v="837"/>
    <n v="719"/>
    <n v="25"/>
    <n v="10"/>
    <n v="24"/>
    <n v="14"/>
    <n v="33"/>
    <n v="41"/>
    <n v="48"/>
    <n v="44"/>
    <n v="49"/>
    <n v="44"/>
    <n v="1"/>
    <n v="36"/>
    <n v="5"/>
    <n v="22"/>
    <n v="29"/>
    <n v="3"/>
    <n v="19"/>
    <n v="24"/>
    <n v="40"/>
    <n v="36"/>
    <n v="22"/>
    <n v="40"/>
    <n v="10"/>
    <n v="36"/>
    <n v="12"/>
    <n v="31"/>
    <n v="15"/>
    <n v="37"/>
    <n v="25"/>
    <n v="49"/>
    <n v="40"/>
    <n v="12"/>
    <n v="8"/>
    <n v="18"/>
    <n v="7"/>
    <n v="22"/>
    <n v="26"/>
    <n v="12"/>
    <n v="43"/>
    <n v="39"/>
    <n v="32"/>
    <n v="49"/>
    <n v="49"/>
    <n v="8"/>
    <n v="30"/>
    <n v="2"/>
    <n v="16"/>
    <n v="37"/>
    <n v="43"/>
    <n v="16"/>
    <n v="46"/>
    <n v="38"/>
    <n v="125369"/>
    <n v="5909"/>
  </r>
  <r>
    <d v="2024-06-25T00:00:00"/>
    <x v="5"/>
    <n v="6"/>
    <n v="839"/>
    <n v="720"/>
    <n v="8"/>
    <n v="7"/>
    <n v="13"/>
    <n v="26"/>
    <n v="28"/>
    <n v="36"/>
    <n v="19"/>
    <n v="17"/>
    <n v="19"/>
    <n v="0"/>
    <n v="25"/>
    <n v="40"/>
    <n v="25"/>
    <n v="3"/>
    <n v="36"/>
    <n v="32"/>
    <n v="34"/>
    <n v="41"/>
    <n v="32"/>
    <n v="17"/>
    <n v="0"/>
    <n v="12"/>
    <n v="46"/>
    <n v="42"/>
    <n v="30"/>
    <n v="39"/>
    <n v="49"/>
    <n v="23"/>
    <n v="7"/>
    <n v="39"/>
    <n v="12"/>
    <n v="18"/>
    <n v="29"/>
    <n v="17"/>
    <n v="14"/>
    <n v="9"/>
    <n v="27"/>
    <n v="36"/>
    <n v="2"/>
    <n v="46"/>
    <n v="27"/>
    <n v="26"/>
    <n v="37"/>
    <n v="47"/>
    <n v="38"/>
    <n v="19"/>
    <n v="16"/>
    <n v="33"/>
    <n v="15"/>
    <n v="5"/>
    <n v="5"/>
    <n v="35"/>
    <n v="125920"/>
    <n v="5921"/>
  </r>
  <r>
    <d v="2024-06-26T00:00:00"/>
    <x v="5"/>
    <n v="6"/>
    <n v="840"/>
    <n v="721"/>
    <n v="10"/>
    <n v="36"/>
    <n v="28"/>
    <n v="7"/>
    <n v="7"/>
    <n v="16"/>
    <n v="25"/>
    <n v="14"/>
    <n v="18"/>
    <n v="10"/>
    <n v="48"/>
    <n v="28"/>
    <n v="12"/>
    <n v="47"/>
    <n v="25"/>
    <n v="41"/>
    <n v="1"/>
    <n v="12"/>
    <n v="6"/>
    <n v="16"/>
    <n v="44"/>
    <n v="26"/>
    <n v="34"/>
    <n v="31"/>
    <n v="11"/>
    <n v="25"/>
    <n v="24"/>
    <n v="11"/>
    <n v="36"/>
    <n v="34"/>
    <n v="38"/>
    <n v="29"/>
    <n v="29"/>
    <n v="44"/>
    <n v="2"/>
    <n v="2"/>
    <n v="24"/>
    <n v="24"/>
    <n v="20"/>
    <n v="31"/>
    <n v="19"/>
    <n v="49"/>
    <n v="1"/>
    <n v="29"/>
    <n v="10"/>
    <n v="49"/>
    <n v="19"/>
    <n v="14"/>
    <n v="35"/>
    <n v="46"/>
    <n v="0"/>
    <n v="47"/>
    <n v="126471"/>
    <n v="5933"/>
  </r>
  <r>
    <d v="2024-06-27T00:00:00"/>
    <x v="5"/>
    <n v="6"/>
    <n v="842"/>
    <n v="721"/>
    <n v="5"/>
    <n v="10"/>
    <n v="41"/>
    <n v="26"/>
    <n v="11"/>
    <n v="42"/>
    <n v="37"/>
    <n v="6"/>
    <n v="1"/>
    <n v="37"/>
    <n v="36"/>
    <n v="25"/>
    <n v="41"/>
    <n v="10"/>
    <n v="28"/>
    <n v="39"/>
    <n v="14"/>
    <n v="11"/>
    <n v="43"/>
    <n v="48"/>
    <n v="48"/>
    <n v="19"/>
    <n v="7"/>
    <n v="3"/>
    <n v="1"/>
    <n v="19"/>
    <n v="40"/>
    <n v="45"/>
    <n v="2"/>
    <n v="45"/>
    <n v="21"/>
    <n v="36"/>
    <n v="4"/>
    <n v="28"/>
    <n v="39"/>
    <n v="26"/>
    <n v="49"/>
    <n v="6"/>
    <n v="18"/>
    <n v="5"/>
    <n v="48"/>
    <n v="29"/>
    <n v="20"/>
    <n v="27"/>
    <n v="25"/>
    <n v="49"/>
    <n v="3"/>
    <n v="49"/>
    <n v="30"/>
    <n v="9"/>
    <n v="38"/>
    <n v="29"/>
    <n v="127021"/>
    <n v="5945"/>
  </r>
  <r>
    <d v="2024-06-28T00:00:00"/>
    <x v="5"/>
    <n v="6"/>
    <n v="844"/>
    <n v="722"/>
    <n v="29"/>
    <n v="31"/>
    <n v="38"/>
    <n v="6"/>
    <n v="9"/>
    <n v="31"/>
    <n v="49"/>
    <n v="48"/>
    <n v="2"/>
    <n v="11"/>
    <n v="23"/>
    <n v="24"/>
    <n v="18"/>
    <n v="23"/>
    <n v="42"/>
    <n v="8"/>
    <n v="44"/>
    <n v="14"/>
    <n v="31"/>
    <n v="32"/>
    <n v="1"/>
    <n v="29"/>
    <n v="27"/>
    <n v="37"/>
    <n v="30"/>
    <n v="10"/>
    <n v="17"/>
    <n v="27"/>
    <n v="37"/>
    <n v="25"/>
    <n v="7"/>
    <n v="17"/>
    <n v="2"/>
    <n v="33"/>
    <n v="26"/>
    <n v="23"/>
    <n v="38"/>
    <n v="44"/>
    <n v="32"/>
    <n v="17"/>
    <n v="7"/>
    <n v="31"/>
    <n v="37"/>
    <n v="22"/>
    <n v="5"/>
    <n v="3"/>
    <n v="40"/>
    <n v="32"/>
    <n v="10"/>
    <n v="45"/>
    <n v="35"/>
    <n v="22"/>
    <n v="127572"/>
    <n v="5957"/>
  </r>
  <r>
    <d v="2024-06-29T00:00:00"/>
    <x v="5"/>
    <n v="6"/>
    <n v="845"/>
    <n v="723"/>
    <n v="2"/>
    <n v="21"/>
    <n v="2"/>
    <n v="22"/>
    <n v="24"/>
    <n v="10"/>
    <n v="12"/>
    <n v="46"/>
    <n v="23"/>
    <n v="38"/>
    <n v="19"/>
    <n v="9"/>
    <n v="27"/>
    <n v="23"/>
    <n v="18"/>
    <n v="38"/>
    <n v="36"/>
    <n v="36"/>
    <n v="14"/>
    <n v="10"/>
    <n v="5"/>
    <n v="30"/>
    <n v="27"/>
    <n v="39"/>
    <n v="6"/>
    <n v="24"/>
    <n v="23"/>
    <n v="37"/>
    <n v="40"/>
    <n v="10"/>
    <n v="8"/>
    <n v="27"/>
    <n v="8"/>
    <n v="7"/>
    <n v="7"/>
    <n v="25"/>
    <n v="35"/>
    <n v="26"/>
    <n v="29"/>
    <n v="27"/>
    <n v="20"/>
    <n v="6"/>
    <n v="40"/>
    <n v="26"/>
    <n v="23"/>
    <n v="10"/>
    <n v="20"/>
    <n v="23"/>
    <n v="16"/>
    <n v="30"/>
    <n v="41"/>
    <n v="47"/>
    <n v="128123"/>
    <n v="5969"/>
  </r>
  <r>
    <d v="2024-06-30T00:00:00"/>
    <x v="5"/>
    <n v="6"/>
    <n v="847"/>
    <n v="723"/>
    <n v="1"/>
    <n v="8"/>
    <n v="3"/>
    <n v="12"/>
    <n v="14"/>
    <n v="38"/>
    <n v="32"/>
    <n v="1"/>
    <n v="24"/>
    <n v="13"/>
    <n v="39"/>
    <n v="27"/>
    <n v="38"/>
    <n v="5"/>
    <n v="30"/>
    <n v="28"/>
    <n v="6"/>
    <n v="13"/>
    <n v="38"/>
    <n v="16"/>
    <n v="18"/>
    <n v="37"/>
    <n v="5"/>
    <n v="6"/>
    <n v="13"/>
    <n v="19"/>
    <n v="3"/>
    <n v="18"/>
    <n v="32"/>
    <n v="31"/>
    <n v="36"/>
    <n v="43"/>
    <n v="44"/>
    <n v="10"/>
    <n v="20"/>
    <n v="37"/>
    <n v="34"/>
    <n v="20"/>
    <n v="34"/>
    <n v="1"/>
    <n v="30"/>
    <n v="3"/>
    <n v="30"/>
    <n v="22"/>
    <n v="45"/>
    <n v="29"/>
    <n v="5"/>
    <n v="9"/>
    <n v="40"/>
    <n v="24"/>
    <n v="33"/>
    <n v="16"/>
    <n v="128673"/>
    <n v="5981"/>
  </r>
  <r>
    <d v="2024-07-01T00:00:00"/>
    <x v="6"/>
    <n v="7"/>
    <n v="849"/>
    <n v="724"/>
    <n v="44"/>
    <n v="31"/>
    <n v="44"/>
    <n v="47"/>
    <n v="42"/>
    <n v="7"/>
    <n v="10"/>
    <n v="23"/>
    <n v="14"/>
    <n v="43"/>
    <n v="32"/>
    <n v="30"/>
    <n v="0"/>
    <n v="39"/>
    <n v="23"/>
    <n v="2"/>
    <n v="49"/>
    <n v="39"/>
    <n v="27"/>
    <n v="8"/>
    <n v="7"/>
    <n v="7"/>
    <n v="30"/>
    <n v="34"/>
    <n v="8"/>
    <n v="12"/>
    <n v="41"/>
    <n v="20"/>
    <n v="15"/>
    <n v="18"/>
    <n v="5"/>
    <n v="8"/>
    <n v="22"/>
    <n v="39"/>
    <n v="29"/>
    <n v="4"/>
    <n v="47"/>
    <n v="21"/>
    <n v="29"/>
    <n v="12"/>
    <n v="5"/>
    <n v="24"/>
    <n v="5"/>
    <n v="9"/>
    <n v="7"/>
    <n v="15"/>
    <n v="28"/>
    <n v="36"/>
    <n v="29"/>
    <n v="16"/>
    <n v="3"/>
    <n v="2"/>
    <n v="129224"/>
    <n v="5993"/>
  </r>
  <r>
    <d v="2024-07-02T00:00:00"/>
    <x v="6"/>
    <n v="7"/>
    <n v="850"/>
    <n v="725"/>
    <n v="11"/>
    <n v="44"/>
    <n v="22"/>
    <n v="27"/>
    <n v="5"/>
    <n v="36"/>
    <n v="42"/>
    <n v="43"/>
    <n v="31"/>
    <n v="24"/>
    <n v="36"/>
    <n v="2"/>
    <n v="16"/>
    <n v="49"/>
    <n v="38"/>
    <n v="21"/>
    <n v="29"/>
    <n v="29"/>
    <n v="33"/>
    <n v="49"/>
    <n v="31"/>
    <n v="39"/>
    <n v="31"/>
    <n v="3"/>
    <n v="3"/>
    <n v="18"/>
    <n v="16"/>
    <n v="35"/>
    <n v="40"/>
    <n v="15"/>
    <n v="32"/>
    <n v="22"/>
    <n v="31"/>
    <n v="0"/>
    <n v="49"/>
    <n v="12"/>
    <n v="34"/>
    <n v="4"/>
    <n v="36"/>
    <n v="29"/>
    <n v="3"/>
    <n v="21"/>
    <n v="28"/>
    <n v="39"/>
    <n v="18"/>
    <n v="47"/>
    <n v="11"/>
    <n v="34"/>
    <n v="36"/>
    <n v="45"/>
    <n v="33"/>
    <n v="44"/>
    <n v="129775"/>
    <n v="6006"/>
  </r>
  <r>
    <d v="2024-07-03T00:00:00"/>
    <x v="6"/>
    <n v="7"/>
    <n v="852"/>
    <n v="726"/>
    <n v="15"/>
    <n v="38"/>
    <n v="44"/>
    <n v="28"/>
    <n v="37"/>
    <n v="35"/>
    <n v="23"/>
    <n v="38"/>
    <n v="37"/>
    <n v="29"/>
    <n v="40"/>
    <n v="0"/>
    <n v="46"/>
    <n v="38"/>
    <n v="34"/>
    <n v="1"/>
    <n v="24"/>
    <n v="30"/>
    <n v="18"/>
    <n v="43"/>
    <n v="35"/>
    <n v="5"/>
    <n v="29"/>
    <n v="11"/>
    <n v="48"/>
    <n v="42"/>
    <n v="29"/>
    <n v="2"/>
    <n v="17"/>
    <n v="49"/>
    <n v="30"/>
    <n v="2"/>
    <n v="31"/>
    <n v="42"/>
    <n v="16"/>
    <n v="22"/>
    <n v="42"/>
    <n v="43"/>
    <n v="41"/>
    <n v="2"/>
    <n v="13"/>
    <n v="47"/>
    <n v="19"/>
    <n v="11"/>
    <n v="35"/>
    <n v="8"/>
    <n v="38"/>
    <n v="2"/>
    <n v="44"/>
    <n v="3"/>
    <n v="14"/>
    <n v="37"/>
    <n v="130326"/>
    <n v="6018"/>
  </r>
  <r>
    <d v="2024-07-04T00:00:00"/>
    <x v="6"/>
    <n v="7"/>
    <n v="854"/>
    <n v="726"/>
    <n v="23"/>
    <n v="49"/>
    <n v="16"/>
    <n v="24"/>
    <n v="29"/>
    <n v="9"/>
    <n v="45"/>
    <n v="44"/>
    <n v="42"/>
    <n v="10"/>
    <n v="15"/>
    <n v="18"/>
    <n v="37"/>
    <n v="10"/>
    <n v="39"/>
    <n v="25"/>
    <n v="9"/>
    <n v="13"/>
    <n v="32"/>
    <n v="20"/>
    <n v="33"/>
    <n v="38"/>
    <n v="49"/>
    <n v="47"/>
    <n v="20"/>
    <n v="36"/>
    <n v="28"/>
    <n v="1"/>
    <n v="32"/>
    <n v="13"/>
    <n v="25"/>
    <n v="22"/>
    <n v="49"/>
    <n v="19"/>
    <n v="46"/>
    <n v="31"/>
    <n v="38"/>
    <n v="44"/>
    <n v="46"/>
    <n v="9"/>
    <n v="11"/>
    <n v="41"/>
    <n v="14"/>
    <n v="47"/>
    <n v="25"/>
    <n v="39"/>
    <n v="24"/>
    <n v="42"/>
    <n v="20"/>
    <n v="28"/>
    <n v="23"/>
    <n v="45"/>
    <n v="130876"/>
    <n v="6030"/>
  </r>
  <r>
    <d v="2024-07-05T00:00:00"/>
    <x v="6"/>
    <n v="7"/>
    <n v="855"/>
    <n v="727"/>
    <n v="32"/>
    <n v="34"/>
    <n v="24"/>
    <n v="42"/>
    <n v="1"/>
    <n v="46"/>
    <n v="2"/>
    <n v="30"/>
    <n v="20"/>
    <n v="4"/>
    <n v="15"/>
    <n v="30"/>
    <n v="25"/>
    <n v="15"/>
    <n v="44"/>
    <n v="39"/>
    <n v="13"/>
    <n v="44"/>
    <n v="43"/>
    <n v="47"/>
    <n v="25"/>
    <n v="10"/>
    <n v="49"/>
    <n v="29"/>
    <n v="24"/>
    <n v="44"/>
    <n v="32"/>
    <n v="43"/>
    <n v="10"/>
    <n v="1"/>
    <n v="22"/>
    <n v="37"/>
    <n v="5"/>
    <n v="5"/>
    <n v="35"/>
    <n v="25"/>
    <n v="3"/>
    <n v="44"/>
    <n v="44"/>
    <n v="37"/>
    <n v="0"/>
    <n v="38"/>
    <n v="27"/>
    <n v="13"/>
    <n v="47"/>
    <n v="13"/>
    <n v="43"/>
    <n v="5"/>
    <n v="1"/>
    <n v="18"/>
    <n v="28"/>
    <n v="17"/>
    <n v="131427"/>
    <n v="6042"/>
  </r>
  <r>
    <d v="2024-07-06T00:00:00"/>
    <x v="6"/>
    <n v="7"/>
    <n v="857"/>
    <n v="728"/>
    <n v="46"/>
    <n v="1"/>
    <n v="9"/>
    <n v="20"/>
    <n v="49"/>
    <n v="8"/>
    <n v="20"/>
    <n v="26"/>
    <n v="6"/>
    <n v="29"/>
    <n v="10"/>
    <n v="0"/>
    <n v="3"/>
    <n v="36"/>
    <n v="20"/>
    <n v="20"/>
    <n v="37"/>
    <n v="35"/>
    <n v="12"/>
    <n v="39"/>
    <n v="18"/>
    <n v="18"/>
    <n v="49"/>
    <n v="3"/>
    <n v="42"/>
    <n v="1"/>
    <n v="10"/>
    <n v="37"/>
    <n v="27"/>
    <n v="13"/>
    <n v="26"/>
    <n v="22"/>
    <n v="12"/>
    <n v="0"/>
    <n v="37"/>
    <n v="10"/>
    <n v="0"/>
    <n v="12"/>
    <n v="20"/>
    <n v="6"/>
    <n v="34"/>
    <n v="6"/>
    <n v="47"/>
    <n v="24"/>
    <n v="48"/>
    <n v="14"/>
    <n v="41"/>
    <n v="17"/>
    <n v="48"/>
    <n v="4"/>
    <n v="12"/>
    <n v="28"/>
    <n v="131978"/>
    <n v="6054"/>
  </r>
  <r>
    <d v="2024-07-07T00:00:00"/>
    <x v="6"/>
    <n v="7"/>
    <n v="859"/>
    <n v="728"/>
    <n v="40"/>
    <n v="40"/>
    <n v="26"/>
    <n v="37"/>
    <n v="2"/>
    <n v="33"/>
    <n v="8"/>
    <n v="36"/>
    <n v="15"/>
    <n v="8"/>
    <n v="23"/>
    <n v="19"/>
    <n v="15"/>
    <n v="32"/>
    <n v="36"/>
    <n v="28"/>
    <n v="15"/>
    <n v="4"/>
    <n v="19"/>
    <n v="23"/>
    <n v="42"/>
    <n v="23"/>
    <n v="46"/>
    <n v="7"/>
    <n v="24"/>
    <n v="1"/>
    <n v="37"/>
    <n v="39"/>
    <n v="33"/>
    <n v="3"/>
    <n v="30"/>
    <n v="16"/>
    <n v="30"/>
    <n v="14"/>
    <n v="39"/>
    <n v="26"/>
    <n v="38"/>
    <n v="32"/>
    <n v="20"/>
    <n v="16"/>
    <n v="11"/>
    <n v="43"/>
    <n v="7"/>
    <n v="35"/>
    <n v="9"/>
    <n v="32"/>
    <n v="28"/>
    <n v="13"/>
    <n v="11"/>
    <n v="22"/>
    <n v="38"/>
    <n v="5"/>
    <n v="132528"/>
    <n v="6066"/>
  </r>
  <r>
    <d v="2024-07-08T00:00:00"/>
    <x v="6"/>
    <n v="7"/>
    <n v="860"/>
    <n v="729"/>
    <n v="14"/>
    <n v="44"/>
    <n v="42"/>
    <n v="2"/>
    <n v="20"/>
    <n v="49"/>
    <n v="20"/>
    <n v="20"/>
    <n v="8"/>
    <n v="5"/>
    <n v="29"/>
    <n v="1"/>
    <n v="2"/>
    <n v="17"/>
    <n v="18"/>
    <n v="48"/>
    <n v="40"/>
    <n v="20"/>
    <n v="23"/>
    <n v="49"/>
    <n v="25"/>
    <n v="16"/>
    <n v="31"/>
    <n v="12"/>
    <n v="21"/>
    <n v="18"/>
    <n v="9"/>
    <n v="6"/>
    <n v="7"/>
    <n v="20"/>
    <n v="40"/>
    <n v="15"/>
    <n v="21"/>
    <n v="36"/>
    <n v="39"/>
    <n v="13"/>
    <n v="1"/>
    <n v="47"/>
    <n v="32"/>
    <n v="17"/>
    <n v="33"/>
    <n v="6"/>
    <n v="28"/>
    <n v="34"/>
    <n v="36"/>
    <n v="21"/>
    <n v="11"/>
    <n v="6"/>
    <n v="47"/>
    <n v="39"/>
    <n v="28"/>
    <n v="8"/>
    <n v="133079"/>
    <n v="6078"/>
  </r>
  <r>
    <d v="2024-07-09T00:00:00"/>
    <x v="6"/>
    <n v="7"/>
    <n v="862"/>
    <n v="730"/>
    <n v="38"/>
    <n v="2"/>
    <n v="27"/>
    <n v="38"/>
    <n v="13"/>
    <n v="21"/>
    <n v="30"/>
    <n v="17"/>
    <n v="49"/>
    <n v="13"/>
    <n v="4"/>
    <n v="39"/>
    <n v="37"/>
    <n v="1"/>
    <n v="15"/>
    <n v="49"/>
    <n v="12"/>
    <n v="8"/>
    <n v="30"/>
    <n v="49"/>
    <n v="46"/>
    <n v="13"/>
    <n v="24"/>
    <n v="15"/>
    <n v="3"/>
    <n v="3"/>
    <n v="38"/>
    <n v="38"/>
    <n v="40"/>
    <n v="36"/>
    <n v="26"/>
    <n v="2"/>
    <n v="48"/>
    <n v="38"/>
    <n v="2"/>
    <n v="21"/>
    <n v="3"/>
    <n v="33"/>
    <n v="40"/>
    <n v="45"/>
    <n v="19"/>
    <n v="25"/>
    <n v="37"/>
    <n v="23"/>
    <n v="45"/>
    <n v="17"/>
    <n v="49"/>
    <n v="9"/>
    <n v="32"/>
    <n v="43"/>
    <n v="49"/>
    <n v="21"/>
    <n v="133630"/>
    <n v="6090"/>
  </r>
  <r>
    <d v="2024-07-10T00:00:00"/>
    <x v="6"/>
    <n v="7"/>
    <n v="863"/>
    <n v="730"/>
    <n v="47"/>
    <n v="23"/>
    <n v="23"/>
    <n v="41"/>
    <n v="8"/>
    <n v="23"/>
    <n v="39"/>
    <n v="11"/>
    <n v="14"/>
    <n v="41"/>
    <n v="4"/>
    <n v="3"/>
    <n v="46"/>
    <n v="39"/>
    <n v="43"/>
    <n v="18"/>
    <n v="1"/>
    <n v="44"/>
    <n v="17"/>
    <n v="24"/>
    <n v="6"/>
    <n v="10"/>
    <n v="46"/>
    <n v="25"/>
    <n v="20"/>
    <n v="17"/>
    <n v="23"/>
    <n v="35"/>
    <n v="26"/>
    <n v="17"/>
    <n v="41"/>
    <n v="17"/>
    <n v="38"/>
    <n v="8"/>
    <n v="2"/>
    <n v="20"/>
    <n v="12"/>
    <n v="11"/>
    <n v="40"/>
    <n v="48"/>
    <n v="2"/>
    <n v="6"/>
    <n v="45"/>
    <n v="37"/>
    <n v="27"/>
    <n v="2"/>
    <n v="13"/>
    <n v="42"/>
    <n v="15"/>
    <n v="27"/>
    <n v="0"/>
    <n v="10"/>
    <n v="134180"/>
    <n v="6102"/>
  </r>
  <r>
    <d v="2024-07-11T00:00:00"/>
    <x v="6"/>
    <n v="7"/>
    <n v="865"/>
    <n v="731"/>
    <n v="16"/>
    <n v="2"/>
    <n v="46"/>
    <n v="3"/>
    <n v="26"/>
    <n v="21"/>
    <n v="8"/>
    <n v="7"/>
    <n v="22"/>
    <n v="18"/>
    <n v="12"/>
    <n v="44"/>
    <n v="11"/>
    <n v="28"/>
    <n v="40"/>
    <n v="24"/>
    <n v="10"/>
    <n v="26"/>
    <n v="37"/>
    <n v="37"/>
    <n v="21"/>
    <n v="34"/>
    <n v="45"/>
    <n v="17"/>
    <n v="18"/>
    <n v="31"/>
    <n v="14"/>
    <n v="36"/>
    <n v="20"/>
    <n v="5"/>
    <n v="5"/>
    <n v="21"/>
    <n v="44"/>
    <n v="34"/>
    <n v="12"/>
    <n v="20"/>
    <n v="13"/>
    <n v="44"/>
    <n v="5"/>
    <n v="27"/>
    <n v="46"/>
    <n v="41"/>
    <n v="29"/>
    <n v="40"/>
    <n v="2"/>
    <n v="19"/>
    <n v="37"/>
    <n v="6"/>
    <n v="22"/>
    <n v="45"/>
    <n v="0"/>
    <n v="15"/>
    <n v="134731"/>
    <n v="6114"/>
  </r>
  <r>
    <d v="2024-07-12T00:00:00"/>
    <x v="6"/>
    <n v="7"/>
    <n v="867"/>
    <n v="732"/>
    <n v="30"/>
    <n v="14"/>
    <n v="17"/>
    <n v="10"/>
    <n v="1"/>
    <n v="12"/>
    <n v="39"/>
    <n v="2"/>
    <n v="15"/>
    <n v="28"/>
    <n v="44"/>
    <n v="42"/>
    <n v="45"/>
    <n v="18"/>
    <n v="35"/>
    <n v="32"/>
    <n v="35"/>
    <n v="48"/>
    <n v="28"/>
    <n v="9"/>
    <n v="5"/>
    <n v="13"/>
    <n v="5"/>
    <n v="37"/>
    <n v="12"/>
    <n v="12"/>
    <n v="36"/>
    <n v="21"/>
    <n v="27"/>
    <n v="3"/>
    <n v="41"/>
    <n v="16"/>
    <n v="15"/>
    <n v="37"/>
    <n v="23"/>
    <n v="17"/>
    <n v="20"/>
    <n v="30"/>
    <n v="12"/>
    <n v="32"/>
    <n v="0"/>
    <n v="32"/>
    <n v="34"/>
    <n v="32"/>
    <n v="22"/>
    <n v="0"/>
    <n v="41"/>
    <n v="3"/>
    <n v="7"/>
    <n v="30"/>
    <n v="10"/>
    <n v="39"/>
    <n v="135282"/>
    <n v="6126"/>
  </r>
  <r>
    <d v="2024-07-13T00:00:00"/>
    <x v="6"/>
    <n v="7"/>
    <n v="868"/>
    <n v="732"/>
    <n v="6"/>
    <n v="22"/>
    <n v="33"/>
    <n v="31"/>
    <n v="38"/>
    <n v="37"/>
    <n v="13"/>
    <n v="46"/>
    <n v="20"/>
    <n v="40"/>
    <n v="24"/>
    <n v="35"/>
    <n v="49"/>
    <n v="5"/>
    <n v="40"/>
    <n v="42"/>
    <n v="0"/>
    <n v="19"/>
    <n v="41"/>
    <n v="21"/>
    <n v="35"/>
    <n v="14"/>
    <n v="4"/>
    <n v="25"/>
    <n v="30"/>
    <n v="3"/>
    <n v="35"/>
    <n v="4"/>
    <n v="2"/>
    <n v="29"/>
    <n v="5"/>
    <n v="2"/>
    <n v="41"/>
    <n v="22"/>
    <n v="35"/>
    <n v="14"/>
    <n v="5"/>
    <n v="15"/>
    <n v="32"/>
    <n v="30"/>
    <n v="6"/>
    <n v="32"/>
    <n v="35"/>
    <n v="38"/>
    <n v="12"/>
    <n v="49"/>
    <n v="3"/>
    <n v="2"/>
    <n v="27"/>
    <n v="13"/>
    <n v="14"/>
    <n v="25"/>
    <n v="135832"/>
    <n v="6138"/>
  </r>
  <r>
    <d v="2024-07-14T00:00:00"/>
    <x v="6"/>
    <n v="7"/>
    <n v="870"/>
    <n v="733"/>
    <n v="9"/>
    <n v="4"/>
    <n v="11"/>
    <n v="16"/>
    <n v="20"/>
    <n v="6"/>
    <n v="14"/>
    <n v="5"/>
    <n v="34"/>
    <n v="30"/>
    <n v="21"/>
    <n v="5"/>
    <n v="42"/>
    <n v="30"/>
    <n v="48"/>
    <n v="35"/>
    <n v="33"/>
    <n v="43"/>
    <n v="1"/>
    <n v="47"/>
    <n v="8"/>
    <n v="4"/>
    <n v="12"/>
    <n v="0"/>
    <n v="29"/>
    <n v="4"/>
    <n v="39"/>
    <n v="7"/>
    <n v="30"/>
    <n v="22"/>
    <n v="47"/>
    <n v="30"/>
    <n v="48"/>
    <n v="40"/>
    <n v="44"/>
    <n v="18"/>
    <n v="20"/>
    <n v="44"/>
    <n v="44"/>
    <n v="4"/>
    <n v="32"/>
    <n v="41"/>
    <n v="29"/>
    <n v="14"/>
    <n v="22"/>
    <n v="28"/>
    <n v="21"/>
    <n v="26"/>
    <n v="23"/>
    <n v="22"/>
    <n v="19"/>
    <n v="36"/>
    <n v="136383"/>
    <n v="6150"/>
  </r>
  <r>
    <d v="2024-07-15T00:00:00"/>
    <x v="6"/>
    <n v="7"/>
    <n v="872"/>
    <n v="734"/>
    <n v="12"/>
    <n v="15"/>
    <n v="9"/>
    <n v="37"/>
    <n v="20"/>
    <n v="7"/>
    <n v="31"/>
    <n v="26"/>
    <n v="3"/>
    <n v="3"/>
    <n v="23"/>
    <n v="30"/>
    <n v="17"/>
    <n v="3"/>
    <n v="37"/>
    <n v="16"/>
    <n v="29"/>
    <n v="48"/>
    <n v="33"/>
    <n v="28"/>
    <n v="38"/>
    <n v="1"/>
    <n v="31"/>
    <n v="3"/>
    <n v="40"/>
    <n v="20"/>
    <n v="35"/>
    <n v="34"/>
    <n v="37"/>
    <n v="42"/>
    <n v="25"/>
    <n v="31"/>
    <n v="18"/>
    <n v="2"/>
    <n v="35"/>
    <n v="39"/>
    <n v="22"/>
    <n v="40"/>
    <n v="42"/>
    <n v="49"/>
    <n v="34"/>
    <n v="44"/>
    <n v="2"/>
    <n v="16"/>
    <n v="24"/>
    <n v="9"/>
    <n v="48"/>
    <n v="36"/>
    <n v="15"/>
    <n v="18"/>
    <n v="39"/>
    <n v="30"/>
    <n v="136934"/>
    <n v="6162"/>
  </r>
  <r>
    <d v="2024-07-16T00:00:00"/>
    <x v="6"/>
    <n v="7"/>
    <n v="873"/>
    <n v="734"/>
    <n v="16"/>
    <n v="18"/>
    <n v="13"/>
    <n v="36"/>
    <n v="29"/>
    <n v="0"/>
    <n v="8"/>
    <n v="20"/>
    <n v="3"/>
    <n v="45"/>
    <n v="13"/>
    <n v="38"/>
    <n v="33"/>
    <n v="26"/>
    <n v="4"/>
    <n v="4"/>
    <n v="24"/>
    <n v="5"/>
    <n v="14"/>
    <n v="20"/>
    <n v="1"/>
    <n v="38"/>
    <n v="42"/>
    <n v="17"/>
    <n v="42"/>
    <n v="29"/>
    <n v="47"/>
    <n v="46"/>
    <n v="34"/>
    <n v="17"/>
    <n v="24"/>
    <n v="11"/>
    <n v="15"/>
    <n v="35"/>
    <n v="26"/>
    <n v="24"/>
    <n v="31"/>
    <n v="21"/>
    <n v="14"/>
    <n v="15"/>
    <n v="10"/>
    <n v="37"/>
    <n v="36"/>
    <n v="39"/>
    <n v="21"/>
    <n v="0"/>
    <n v="40"/>
    <n v="20"/>
    <n v="32"/>
    <n v="28"/>
    <n v="22"/>
    <n v="16"/>
    <n v="137484"/>
    <n v="6174"/>
  </r>
  <r>
    <d v="2024-07-17T00:00:00"/>
    <x v="6"/>
    <n v="7"/>
    <n v="875"/>
    <n v="735"/>
    <n v="5"/>
    <n v="16"/>
    <n v="5"/>
    <n v="34"/>
    <n v="10"/>
    <n v="26"/>
    <n v="32"/>
    <n v="21"/>
    <n v="43"/>
    <n v="43"/>
    <n v="22"/>
    <n v="37"/>
    <n v="17"/>
    <n v="20"/>
    <n v="14"/>
    <n v="42"/>
    <n v="20"/>
    <n v="36"/>
    <n v="11"/>
    <n v="48"/>
    <n v="9"/>
    <n v="24"/>
    <n v="5"/>
    <n v="12"/>
    <n v="27"/>
    <n v="30"/>
    <n v="41"/>
    <n v="36"/>
    <n v="22"/>
    <n v="40"/>
    <n v="25"/>
    <n v="46"/>
    <n v="38"/>
    <n v="20"/>
    <n v="33"/>
    <n v="29"/>
    <n v="3"/>
    <n v="7"/>
    <n v="8"/>
    <n v="13"/>
    <n v="12"/>
    <n v="14"/>
    <n v="15"/>
    <n v="13"/>
    <n v="14"/>
    <n v="39"/>
    <n v="31"/>
    <n v="44"/>
    <n v="4"/>
    <n v="29"/>
    <n v="40"/>
    <n v="29"/>
    <n v="138035"/>
    <n v="6186"/>
  </r>
  <r>
    <d v="2024-07-18T00:00:00"/>
    <x v="6"/>
    <n v="7"/>
    <n v="877"/>
    <n v="736"/>
    <n v="16"/>
    <n v="13"/>
    <n v="1"/>
    <n v="0"/>
    <n v="31"/>
    <n v="8"/>
    <n v="41"/>
    <n v="33"/>
    <n v="45"/>
    <n v="22"/>
    <n v="17"/>
    <n v="10"/>
    <n v="33"/>
    <n v="24"/>
    <n v="1"/>
    <n v="38"/>
    <n v="21"/>
    <n v="14"/>
    <n v="39"/>
    <n v="45"/>
    <n v="3"/>
    <n v="17"/>
    <n v="15"/>
    <n v="15"/>
    <n v="40"/>
    <n v="5"/>
    <n v="27"/>
    <n v="40"/>
    <n v="38"/>
    <n v="17"/>
    <n v="0"/>
    <n v="42"/>
    <n v="4"/>
    <n v="3"/>
    <n v="12"/>
    <n v="23"/>
    <n v="13"/>
    <n v="44"/>
    <n v="0"/>
    <n v="46"/>
    <n v="4"/>
    <n v="49"/>
    <n v="29"/>
    <n v="45"/>
    <n v="48"/>
    <n v="5"/>
    <n v="36"/>
    <n v="49"/>
    <n v="23"/>
    <n v="15"/>
    <n v="15"/>
    <n v="19"/>
    <n v="138586"/>
    <n v="6198"/>
  </r>
  <r>
    <d v="2024-07-19T00:00:00"/>
    <x v="6"/>
    <n v="7"/>
    <n v="878"/>
    <n v="736"/>
    <n v="11"/>
    <n v="48"/>
    <n v="7"/>
    <n v="11"/>
    <n v="25"/>
    <n v="6"/>
    <n v="0"/>
    <n v="32"/>
    <n v="12"/>
    <n v="10"/>
    <n v="3"/>
    <n v="10"/>
    <n v="3"/>
    <n v="47"/>
    <n v="40"/>
    <n v="20"/>
    <n v="17"/>
    <n v="20"/>
    <n v="11"/>
    <n v="21"/>
    <n v="18"/>
    <n v="18"/>
    <n v="2"/>
    <n v="29"/>
    <n v="4"/>
    <n v="10"/>
    <n v="43"/>
    <n v="45"/>
    <n v="8"/>
    <n v="18"/>
    <n v="18"/>
    <n v="19"/>
    <n v="6"/>
    <n v="40"/>
    <n v="16"/>
    <n v="5"/>
    <n v="33"/>
    <n v="16"/>
    <n v="12"/>
    <n v="31"/>
    <n v="19"/>
    <n v="1"/>
    <n v="41"/>
    <n v="20"/>
    <n v="3"/>
    <n v="31"/>
    <n v="6"/>
    <n v="25"/>
    <n v="19"/>
    <n v="31"/>
    <n v="41"/>
    <n v="21"/>
    <n v="139136"/>
    <n v="6210"/>
  </r>
  <r>
    <d v="2024-07-20T00:00:00"/>
    <x v="6"/>
    <n v="7"/>
    <n v="880"/>
    <n v="737"/>
    <n v="45"/>
    <n v="33"/>
    <n v="11"/>
    <n v="5"/>
    <n v="15"/>
    <n v="0"/>
    <n v="32"/>
    <n v="28"/>
    <n v="10"/>
    <n v="33"/>
    <n v="38"/>
    <n v="20"/>
    <n v="41"/>
    <n v="28"/>
    <n v="18"/>
    <n v="18"/>
    <n v="33"/>
    <n v="20"/>
    <n v="27"/>
    <n v="47"/>
    <n v="48"/>
    <n v="33"/>
    <n v="31"/>
    <n v="40"/>
    <n v="9"/>
    <n v="4"/>
    <n v="2"/>
    <n v="43"/>
    <n v="38"/>
    <n v="21"/>
    <n v="8"/>
    <n v="48"/>
    <n v="28"/>
    <n v="44"/>
    <n v="12"/>
    <n v="28"/>
    <n v="0"/>
    <n v="36"/>
    <n v="4"/>
    <n v="39"/>
    <n v="8"/>
    <n v="2"/>
    <n v="1"/>
    <n v="35"/>
    <n v="12"/>
    <n v="23"/>
    <n v="44"/>
    <n v="49"/>
    <n v="0"/>
    <n v="9"/>
    <n v="35"/>
    <n v="45"/>
    <n v="139687"/>
    <n v="6223"/>
  </r>
  <r>
    <d v="2024-07-21T00:00:00"/>
    <x v="6"/>
    <n v="7"/>
    <n v="882"/>
    <n v="738"/>
    <n v="46"/>
    <n v="41"/>
    <n v="22"/>
    <n v="34"/>
    <n v="1"/>
    <n v="31"/>
    <n v="38"/>
    <n v="27"/>
    <n v="1"/>
    <n v="14"/>
    <n v="38"/>
    <n v="33"/>
    <n v="25"/>
    <n v="2"/>
    <n v="27"/>
    <n v="4"/>
    <n v="26"/>
    <n v="18"/>
    <n v="40"/>
    <n v="36"/>
    <n v="38"/>
    <n v="12"/>
    <n v="25"/>
    <n v="3"/>
    <n v="2"/>
    <n v="9"/>
    <n v="41"/>
    <n v="43"/>
    <n v="8"/>
    <n v="28"/>
    <n v="7"/>
    <n v="46"/>
    <n v="2"/>
    <n v="7"/>
    <n v="36"/>
    <n v="2"/>
    <n v="40"/>
    <n v="15"/>
    <n v="43"/>
    <n v="34"/>
    <n v="35"/>
    <n v="3"/>
    <n v="41"/>
    <n v="22"/>
    <n v="6"/>
    <n v="9"/>
    <n v="14"/>
    <n v="28"/>
    <n v="41"/>
    <n v="0"/>
    <n v="28"/>
    <n v="10"/>
    <n v="140238"/>
    <n v="6235"/>
  </r>
  <r>
    <d v="2024-07-22T00:00:00"/>
    <x v="6"/>
    <n v="7"/>
    <n v="883"/>
    <n v="739"/>
    <n v="17"/>
    <n v="28"/>
    <n v="9"/>
    <n v="39"/>
    <n v="41"/>
    <n v="3"/>
    <n v="20"/>
    <n v="49"/>
    <n v="39"/>
    <n v="24"/>
    <n v="3"/>
    <n v="39"/>
    <n v="0"/>
    <n v="29"/>
    <n v="4"/>
    <n v="37"/>
    <n v="27"/>
    <n v="43"/>
    <n v="29"/>
    <n v="7"/>
    <n v="12"/>
    <n v="14"/>
    <n v="35"/>
    <n v="6"/>
    <n v="43"/>
    <n v="1"/>
    <n v="26"/>
    <n v="23"/>
    <n v="19"/>
    <n v="24"/>
    <n v="17"/>
    <n v="8"/>
    <n v="10"/>
    <n v="15"/>
    <n v="0"/>
    <n v="28"/>
    <n v="13"/>
    <n v="27"/>
    <n v="38"/>
    <n v="0"/>
    <n v="33"/>
    <n v="44"/>
    <n v="16"/>
    <n v="14"/>
    <n v="21"/>
    <n v="32"/>
    <n v="42"/>
    <n v="3"/>
    <n v="26"/>
    <n v="22"/>
    <n v="25"/>
    <n v="12"/>
    <n v="140789"/>
    <n v="6247"/>
  </r>
  <r>
    <d v="2024-07-23T00:00:00"/>
    <x v="6"/>
    <n v="7"/>
    <n v="885"/>
    <n v="739"/>
    <n v="11"/>
    <n v="0"/>
    <n v="33"/>
    <n v="31"/>
    <n v="0"/>
    <n v="47"/>
    <n v="41"/>
    <n v="2"/>
    <n v="32"/>
    <n v="39"/>
    <n v="19"/>
    <n v="29"/>
    <n v="49"/>
    <n v="24"/>
    <n v="16"/>
    <n v="33"/>
    <n v="43"/>
    <n v="27"/>
    <n v="21"/>
    <n v="10"/>
    <n v="48"/>
    <n v="48"/>
    <n v="0"/>
    <n v="4"/>
    <n v="43"/>
    <n v="27"/>
    <n v="40"/>
    <n v="26"/>
    <n v="19"/>
    <n v="43"/>
    <n v="21"/>
    <n v="39"/>
    <n v="13"/>
    <n v="42"/>
    <n v="28"/>
    <n v="49"/>
    <n v="30"/>
    <n v="42"/>
    <n v="10"/>
    <n v="39"/>
    <n v="21"/>
    <n v="9"/>
    <n v="8"/>
    <n v="37"/>
    <n v="44"/>
    <n v="26"/>
    <n v="20"/>
    <n v="42"/>
    <n v="41"/>
    <n v="37"/>
    <n v="11"/>
    <n v="27"/>
    <n v="141339"/>
    <n v="6259"/>
  </r>
  <r>
    <d v="2024-07-24T00:00:00"/>
    <x v="6"/>
    <n v="7"/>
    <n v="886"/>
    <n v="740"/>
    <n v="10"/>
    <n v="27"/>
    <n v="2"/>
    <n v="6"/>
    <n v="8"/>
    <n v="11"/>
    <n v="27"/>
    <n v="7"/>
    <n v="2"/>
    <n v="13"/>
    <n v="45"/>
    <n v="30"/>
    <n v="34"/>
    <n v="15"/>
    <n v="8"/>
    <n v="46"/>
    <n v="36"/>
    <n v="48"/>
    <n v="6"/>
    <n v="45"/>
    <n v="13"/>
    <n v="35"/>
    <n v="39"/>
    <n v="6"/>
    <n v="35"/>
    <n v="32"/>
    <n v="26"/>
    <n v="23"/>
    <n v="47"/>
    <n v="14"/>
    <n v="21"/>
    <n v="13"/>
    <n v="16"/>
    <n v="20"/>
    <n v="44"/>
    <n v="22"/>
    <n v="1"/>
    <n v="41"/>
    <n v="40"/>
    <n v="2"/>
    <n v="38"/>
    <n v="19"/>
    <n v="26"/>
    <n v="3"/>
    <n v="37"/>
    <n v="21"/>
    <n v="8"/>
    <n v="26"/>
    <n v="44"/>
    <n v="27"/>
    <n v="8"/>
    <n v="39"/>
    <n v="141890"/>
    <n v="6271"/>
  </r>
  <r>
    <d v="2024-07-25T00:00:00"/>
    <x v="6"/>
    <n v="7"/>
    <n v="888"/>
    <n v="741"/>
    <n v="8"/>
    <n v="27"/>
    <n v="17"/>
    <n v="30"/>
    <n v="7"/>
    <n v="9"/>
    <n v="14"/>
    <n v="3"/>
    <n v="48"/>
    <n v="18"/>
    <n v="13"/>
    <n v="15"/>
    <n v="25"/>
    <n v="30"/>
    <n v="3"/>
    <n v="1"/>
    <n v="46"/>
    <n v="8"/>
    <n v="48"/>
    <n v="10"/>
    <n v="40"/>
    <n v="46"/>
    <n v="4"/>
    <n v="32"/>
    <n v="19"/>
    <n v="47"/>
    <n v="34"/>
    <n v="16"/>
    <n v="8"/>
    <n v="32"/>
    <n v="0"/>
    <n v="34"/>
    <n v="30"/>
    <n v="47"/>
    <n v="13"/>
    <n v="34"/>
    <n v="43"/>
    <n v="32"/>
    <n v="31"/>
    <n v="37"/>
    <n v="1"/>
    <n v="27"/>
    <n v="19"/>
    <n v="19"/>
    <n v="28"/>
    <n v="34"/>
    <n v="19"/>
    <n v="14"/>
    <n v="45"/>
    <n v="29"/>
    <n v="14"/>
    <n v="4"/>
    <n v="142441"/>
    <n v="6283"/>
  </r>
  <r>
    <d v="2024-07-26T00:00:00"/>
    <x v="6"/>
    <n v="7"/>
    <n v="890"/>
    <n v="741"/>
    <n v="38"/>
    <n v="17"/>
    <n v="37"/>
    <n v="9"/>
    <n v="6"/>
    <n v="41"/>
    <n v="18"/>
    <n v="48"/>
    <n v="4"/>
    <n v="7"/>
    <n v="6"/>
    <n v="5"/>
    <n v="49"/>
    <n v="39"/>
    <n v="28"/>
    <n v="0"/>
    <n v="1"/>
    <n v="44"/>
    <n v="15"/>
    <n v="42"/>
    <n v="33"/>
    <n v="29"/>
    <n v="49"/>
    <n v="45"/>
    <n v="17"/>
    <n v="27"/>
    <n v="28"/>
    <n v="49"/>
    <n v="34"/>
    <n v="14"/>
    <n v="4"/>
    <n v="45"/>
    <n v="48"/>
    <n v="28"/>
    <n v="5"/>
    <n v="14"/>
    <n v="6"/>
    <n v="18"/>
    <n v="17"/>
    <n v="35"/>
    <n v="9"/>
    <n v="3"/>
    <n v="4"/>
    <n v="41"/>
    <n v="49"/>
    <n v="13"/>
    <n v="30"/>
    <n v="19"/>
    <n v="2"/>
    <n v="46"/>
    <n v="43"/>
    <n v="25"/>
    <n v="142991"/>
    <n v="6295"/>
  </r>
  <r>
    <d v="2024-07-27T00:00:00"/>
    <x v="6"/>
    <n v="7"/>
    <n v="891"/>
    <n v="742"/>
    <n v="20"/>
    <n v="15"/>
    <n v="20"/>
    <n v="29"/>
    <n v="0"/>
    <n v="41"/>
    <n v="16"/>
    <n v="25"/>
    <n v="47"/>
    <n v="43"/>
    <n v="1"/>
    <n v="22"/>
    <n v="37"/>
    <n v="41"/>
    <n v="19"/>
    <n v="21"/>
    <n v="32"/>
    <n v="46"/>
    <n v="41"/>
    <n v="17"/>
    <n v="30"/>
    <n v="17"/>
    <n v="21"/>
    <n v="20"/>
    <n v="1"/>
    <n v="0"/>
    <n v="28"/>
    <n v="19"/>
    <n v="22"/>
    <n v="20"/>
    <n v="15"/>
    <n v="47"/>
    <n v="49"/>
    <n v="42"/>
    <n v="37"/>
    <n v="14"/>
    <n v="10"/>
    <n v="17"/>
    <n v="4"/>
    <n v="5"/>
    <n v="14"/>
    <n v="26"/>
    <n v="38"/>
    <n v="21"/>
    <n v="12"/>
    <n v="5"/>
    <n v="35"/>
    <n v="34"/>
    <n v="48"/>
    <n v="34"/>
    <n v="29"/>
    <n v="14"/>
    <n v="143542"/>
    <n v="6307"/>
  </r>
  <r>
    <d v="2024-07-28T00:00:00"/>
    <x v="6"/>
    <n v="7"/>
    <n v="893"/>
    <n v="743"/>
    <n v="38"/>
    <n v="29"/>
    <n v="30"/>
    <n v="49"/>
    <n v="34"/>
    <n v="31"/>
    <n v="20"/>
    <n v="6"/>
    <n v="31"/>
    <n v="42"/>
    <n v="11"/>
    <n v="31"/>
    <n v="40"/>
    <n v="12"/>
    <n v="0"/>
    <n v="20"/>
    <n v="1"/>
    <n v="26"/>
    <n v="32"/>
    <n v="36"/>
    <n v="3"/>
    <n v="12"/>
    <n v="10"/>
    <n v="18"/>
    <n v="22"/>
    <n v="18"/>
    <n v="37"/>
    <n v="13"/>
    <n v="44"/>
    <n v="41"/>
    <n v="40"/>
    <n v="10"/>
    <n v="6"/>
    <n v="5"/>
    <n v="39"/>
    <n v="3"/>
    <n v="22"/>
    <n v="42"/>
    <n v="42"/>
    <n v="18"/>
    <n v="9"/>
    <n v="20"/>
    <n v="39"/>
    <n v="42"/>
    <n v="14"/>
    <n v="34"/>
    <n v="43"/>
    <n v="9"/>
    <n v="20"/>
    <n v="11"/>
    <n v="17"/>
    <n v="47"/>
    <n v="144093"/>
    <n v="6319"/>
  </r>
  <r>
    <d v="2024-07-29T00:00:00"/>
    <x v="6"/>
    <n v="7"/>
    <n v="895"/>
    <n v="743"/>
    <n v="24"/>
    <n v="2"/>
    <n v="46"/>
    <n v="42"/>
    <n v="35"/>
    <n v="44"/>
    <n v="16"/>
    <n v="35"/>
    <n v="30"/>
    <n v="0"/>
    <n v="35"/>
    <n v="48"/>
    <n v="21"/>
    <n v="35"/>
    <n v="48"/>
    <n v="22"/>
    <n v="43"/>
    <n v="39"/>
    <n v="44"/>
    <n v="9"/>
    <n v="7"/>
    <n v="30"/>
    <n v="35"/>
    <n v="11"/>
    <n v="23"/>
    <n v="30"/>
    <n v="7"/>
    <n v="30"/>
    <n v="21"/>
    <n v="18"/>
    <n v="48"/>
    <n v="24"/>
    <n v="17"/>
    <n v="27"/>
    <n v="26"/>
    <n v="2"/>
    <n v="19"/>
    <n v="36"/>
    <n v="29"/>
    <n v="23"/>
    <n v="32"/>
    <n v="43"/>
    <n v="34"/>
    <n v="10"/>
    <n v="34"/>
    <n v="1"/>
    <n v="40"/>
    <n v="32"/>
    <n v="11"/>
    <n v="38"/>
    <n v="35"/>
    <n v="5"/>
    <n v="144643"/>
    <n v="6331"/>
  </r>
  <r>
    <d v="2024-07-30T00:00:00"/>
    <x v="6"/>
    <n v="7"/>
    <n v="896"/>
    <n v="744"/>
    <n v="33"/>
    <n v="37"/>
    <n v="33"/>
    <n v="33"/>
    <n v="41"/>
    <n v="28"/>
    <n v="27"/>
    <n v="41"/>
    <n v="7"/>
    <n v="43"/>
    <n v="27"/>
    <n v="26"/>
    <n v="27"/>
    <n v="21"/>
    <n v="49"/>
    <n v="48"/>
    <n v="22"/>
    <n v="5"/>
    <n v="2"/>
    <n v="24"/>
    <n v="36"/>
    <n v="5"/>
    <n v="16"/>
    <n v="43"/>
    <n v="28"/>
    <n v="36"/>
    <n v="1"/>
    <n v="45"/>
    <n v="37"/>
    <n v="10"/>
    <n v="47"/>
    <n v="30"/>
    <n v="29"/>
    <n v="11"/>
    <n v="44"/>
    <n v="35"/>
    <n v="19"/>
    <n v="20"/>
    <n v="34"/>
    <n v="6"/>
    <n v="17"/>
    <n v="19"/>
    <n v="17"/>
    <n v="33"/>
    <n v="44"/>
    <n v="36"/>
    <n v="45"/>
    <n v="17"/>
    <n v="46"/>
    <n v="28"/>
    <n v="41"/>
    <n v="37"/>
    <n v="145194"/>
    <n v="6343"/>
  </r>
  <r>
    <d v="2024-07-31T00:00:00"/>
    <x v="6"/>
    <n v="7"/>
    <n v="898"/>
    <n v="745"/>
    <n v="14"/>
    <n v="43"/>
    <n v="20"/>
    <n v="41"/>
    <n v="36"/>
    <n v="12"/>
    <n v="12"/>
    <n v="5"/>
    <n v="39"/>
    <n v="16"/>
    <n v="31"/>
    <n v="38"/>
    <n v="0"/>
    <n v="19"/>
    <n v="37"/>
    <n v="2"/>
    <n v="49"/>
    <n v="45"/>
    <n v="16"/>
    <n v="22"/>
    <n v="18"/>
    <n v="38"/>
    <n v="28"/>
    <n v="35"/>
    <n v="43"/>
    <n v="34"/>
    <n v="1"/>
    <n v="16"/>
    <n v="22"/>
    <n v="30"/>
    <n v="28"/>
    <n v="16"/>
    <n v="3"/>
    <n v="41"/>
    <n v="47"/>
    <n v="36"/>
    <n v="47"/>
    <n v="29"/>
    <n v="20"/>
    <n v="14"/>
    <n v="31"/>
    <n v="44"/>
    <n v="32"/>
    <n v="9"/>
    <n v="23"/>
    <n v="47"/>
    <n v="17"/>
    <n v="42"/>
    <n v="3"/>
    <n v="48"/>
    <n v="10"/>
    <n v="33"/>
    <n v="145745"/>
    <n v="6355"/>
  </r>
  <r>
    <d v="2024-08-01T00:00:00"/>
    <x v="7"/>
    <n v="8"/>
    <n v="900"/>
    <n v="745"/>
    <n v="1"/>
    <n v="13"/>
    <n v="18"/>
    <n v="16"/>
    <n v="47"/>
    <n v="21"/>
    <n v="19"/>
    <n v="31"/>
    <n v="21"/>
    <n v="40"/>
    <n v="34"/>
    <n v="14"/>
    <n v="30"/>
    <n v="23"/>
    <n v="35"/>
    <n v="10"/>
    <n v="48"/>
    <n v="9"/>
    <n v="47"/>
    <n v="38"/>
    <n v="35"/>
    <n v="45"/>
    <n v="10"/>
    <n v="18"/>
    <n v="4"/>
    <n v="42"/>
    <n v="34"/>
    <n v="48"/>
    <n v="5"/>
    <n v="19"/>
    <n v="1"/>
    <n v="27"/>
    <n v="33"/>
    <n v="22"/>
    <n v="47"/>
    <n v="43"/>
    <n v="0"/>
    <n v="7"/>
    <n v="44"/>
    <n v="20"/>
    <n v="24"/>
    <n v="43"/>
    <n v="31"/>
    <n v="31"/>
    <n v="34"/>
    <n v="37"/>
    <n v="29"/>
    <n v="2"/>
    <n v="11"/>
    <n v="7"/>
    <n v="42"/>
    <n v="1"/>
    <n v="146295"/>
    <n v="6367"/>
  </r>
  <r>
    <d v="2024-08-02T00:00:00"/>
    <x v="7"/>
    <n v="8"/>
    <n v="901"/>
    <n v="746"/>
    <n v="2"/>
    <n v="6"/>
    <n v="6"/>
    <n v="31"/>
    <n v="20"/>
    <n v="27"/>
    <n v="33"/>
    <n v="49"/>
    <n v="28"/>
    <n v="23"/>
    <n v="35"/>
    <n v="7"/>
    <n v="35"/>
    <n v="12"/>
    <n v="11"/>
    <n v="38"/>
    <n v="8"/>
    <n v="20"/>
    <n v="13"/>
    <n v="44"/>
    <n v="46"/>
    <n v="33"/>
    <n v="25"/>
    <n v="17"/>
    <n v="15"/>
    <n v="48"/>
    <n v="21"/>
    <n v="25"/>
    <n v="33"/>
    <n v="22"/>
    <n v="7"/>
    <n v="13"/>
    <n v="17"/>
    <n v="31"/>
    <n v="25"/>
    <n v="4"/>
    <n v="7"/>
    <n v="18"/>
    <n v="3"/>
    <n v="48"/>
    <n v="32"/>
    <n v="22"/>
    <n v="22"/>
    <n v="9"/>
    <n v="40"/>
    <n v="32"/>
    <n v="14"/>
    <n v="29"/>
    <n v="27"/>
    <n v="5"/>
    <n v="22"/>
    <n v="45"/>
    <n v="146846"/>
    <n v="6379"/>
  </r>
  <r>
    <d v="2024-08-03T00:00:00"/>
    <x v="7"/>
    <n v="8"/>
    <n v="903"/>
    <n v="747"/>
    <n v="24"/>
    <n v="21"/>
    <n v="1"/>
    <n v="17"/>
    <n v="3"/>
    <n v="25"/>
    <n v="48"/>
    <n v="22"/>
    <n v="9"/>
    <n v="46"/>
    <n v="1"/>
    <n v="0"/>
    <n v="15"/>
    <n v="38"/>
    <n v="49"/>
    <n v="25"/>
    <n v="9"/>
    <n v="25"/>
    <n v="9"/>
    <n v="29"/>
    <n v="6"/>
    <n v="26"/>
    <n v="3"/>
    <n v="15"/>
    <n v="0"/>
    <n v="39"/>
    <n v="43"/>
    <n v="0"/>
    <n v="27"/>
    <n v="3"/>
    <n v="41"/>
    <n v="26"/>
    <n v="10"/>
    <n v="16"/>
    <n v="16"/>
    <n v="18"/>
    <n v="9"/>
    <n v="4"/>
    <n v="22"/>
    <n v="7"/>
    <n v="23"/>
    <n v="46"/>
    <n v="25"/>
    <n v="35"/>
    <n v="2"/>
    <n v="22"/>
    <n v="6"/>
    <n v="25"/>
    <n v="20"/>
    <n v="32"/>
    <n v="0"/>
    <n v="33"/>
    <n v="147397"/>
    <n v="6391"/>
  </r>
  <r>
    <d v="2024-08-04T00:00:00"/>
    <x v="7"/>
    <n v="8"/>
    <n v="905"/>
    <n v="747"/>
    <n v="47"/>
    <n v="35"/>
    <n v="47"/>
    <n v="34"/>
    <n v="47"/>
    <n v="41"/>
    <n v="19"/>
    <n v="15"/>
    <n v="44"/>
    <n v="35"/>
    <n v="34"/>
    <n v="23"/>
    <n v="23"/>
    <n v="41"/>
    <n v="10"/>
    <n v="4"/>
    <n v="9"/>
    <n v="19"/>
    <n v="17"/>
    <n v="29"/>
    <n v="32"/>
    <n v="8"/>
    <n v="1"/>
    <n v="15"/>
    <n v="24"/>
    <n v="30"/>
    <n v="30"/>
    <n v="25"/>
    <n v="9"/>
    <n v="15"/>
    <n v="7"/>
    <n v="33"/>
    <n v="39"/>
    <n v="2"/>
    <n v="21"/>
    <n v="1"/>
    <n v="7"/>
    <n v="4"/>
    <n v="32"/>
    <n v="47"/>
    <n v="37"/>
    <n v="33"/>
    <n v="45"/>
    <n v="17"/>
    <n v="39"/>
    <n v="32"/>
    <n v="12"/>
    <n v="30"/>
    <n v="15"/>
    <n v="22"/>
    <n v="20"/>
    <n v="36"/>
    <n v="147947"/>
    <n v="6403"/>
  </r>
  <r>
    <d v="2024-08-05T00:00:00"/>
    <x v="7"/>
    <n v="8"/>
    <n v="906"/>
    <n v="748"/>
    <n v="27"/>
    <n v="26"/>
    <n v="8"/>
    <n v="3"/>
    <n v="26"/>
    <n v="24"/>
    <n v="44"/>
    <n v="4"/>
    <n v="37"/>
    <n v="20"/>
    <n v="30"/>
    <n v="14"/>
    <n v="29"/>
    <n v="16"/>
    <n v="41"/>
    <n v="25"/>
    <n v="18"/>
    <n v="33"/>
    <n v="37"/>
    <n v="15"/>
    <n v="28"/>
    <n v="12"/>
    <n v="13"/>
    <n v="37"/>
    <n v="40"/>
    <n v="8"/>
    <n v="29"/>
    <n v="28"/>
    <n v="16"/>
    <n v="32"/>
    <n v="16"/>
    <n v="42"/>
    <n v="23"/>
    <n v="23"/>
    <n v="4"/>
    <n v="43"/>
    <n v="35"/>
    <n v="8"/>
    <n v="32"/>
    <n v="0"/>
    <n v="33"/>
    <n v="31"/>
    <n v="34"/>
    <n v="48"/>
    <n v="42"/>
    <n v="20"/>
    <n v="19"/>
    <n v="45"/>
    <n v="22"/>
    <n v="24"/>
    <n v="2"/>
    <n v="33"/>
    <n v="148498"/>
    <n v="6415"/>
  </r>
  <r>
    <d v="2024-08-06T00:00:00"/>
    <x v="7"/>
    <n v="8"/>
    <n v="908"/>
    <n v="749"/>
    <n v="4"/>
    <n v="31"/>
    <n v="23"/>
    <n v="40"/>
    <n v="35"/>
    <n v="35"/>
    <n v="11"/>
    <n v="11"/>
    <n v="2"/>
    <n v="26"/>
    <n v="45"/>
    <n v="28"/>
    <n v="44"/>
    <n v="28"/>
    <n v="25"/>
    <n v="20"/>
    <n v="11"/>
    <n v="24"/>
    <n v="1"/>
    <n v="48"/>
    <n v="16"/>
    <n v="27"/>
    <n v="39"/>
    <n v="47"/>
    <n v="44"/>
    <n v="19"/>
    <n v="20"/>
    <n v="23"/>
    <n v="38"/>
    <n v="30"/>
    <n v="2"/>
    <n v="48"/>
    <n v="49"/>
    <n v="32"/>
    <n v="23"/>
    <n v="5"/>
    <n v="28"/>
    <n v="10"/>
    <n v="15"/>
    <n v="27"/>
    <n v="35"/>
    <n v="12"/>
    <n v="2"/>
    <n v="24"/>
    <n v="26"/>
    <n v="13"/>
    <n v="25"/>
    <n v="39"/>
    <n v="49"/>
    <n v="41"/>
    <n v="23"/>
    <n v="0"/>
    <n v="149049"/>
    <n v="6427"/>
  </r>
  <r>
    <d v="2024-08-07T00:00:00"/>
    <x v="7"/>
    <n v="8"/>
    <n v="910"/>
    <n v="750"/>
    <n v="32"/>
    <n v="21"/>
    <n v="21"/>
    <n v="21"/>
    <n v="45"/>
    <n v="25"/>
    <n v="41"/>
    <n v="29"/>
    <n v="16"/>
    <n v="1"/>
    <n v="40"/>
    <n v="27"/>
    <n v="7"/>
    <n v="21"/>
    <n v="31"/>
    <n v="8"/>
    <n v="6"/>
    <n v="15"/>
    <n v="29"/>
    <n v="22"/>
    <n v="17"/>
    <n v="33"/>
    <n v="41"/>
    <n v="25"/>
    <n v="37"/>
    <n v="29"/>
    <n v="27"/>
    <n v="44"/>
    <n v="32"/>
    <n v="35"/>
    <n v="22"/>
    <n v="44"/>
    <n v="14"/>
    <n v="16"/>
    <n v="0"/>
    <n v="26"/>
    <n v="47"/>
    <n v="33"/>
    <n v="33"/>
    <n v="49"/>
    <n v="9"/>
    <n v="5"/>
    <n v="46"/>
    <n v="27"/>
    <n v="5"/>
    <n v="21"/>
    <n v="32"/>
    <n v="33"/>
    <n v="43"/>
    <n v="25"/>
    <n v="16"/>
    <n v="42"/>
    <n v="149600"/>
    <n v="6440"/>
  </r>
  <r>
    <d v="2024-08-08T00:00:00"/>
    <x v="7"/>
    <n v="8"/>
    <n v="911"/>
    <n v="750"/>
    <n v="7"/>
    <n v="4"/>
    <n v="7"/>
    <n v="20"/>
    <n v="48"/>
    <n v="30"/>
    <n v="22"/>
    <n v="30"/>
    <n v="21"/>
    <n v="46"/>
    <n v="4"/>
    <n v="12"/>
    <n v="9"/>
    <n v="39"/>
    <n v="6"/>
    <n v="33"/>
    <n v="44"/>
    <n v="11"/>
    <n v="29"/>
    <n v="35"/>
    <n v="21"/>
    <n v="31"/>
    <n v="14"/>
    <n v="29"/>
    <n v="40"/>
    <n v="42"/>
    <n v="35"/>
    <n v="39"/>
    <n v="42"/>
    <n v="41"/>
    <n v="2"/>
    <n v="46"/>
    <n v="17"/>
    <n v="48"/>
    <n v="44"/>
    <n v="49"/>
    <n v="0"/>
    <n v="33"/>
    <n v="6"/>
    <n v="18"/>
    <n v="15"/>
    <n v="1"/>
    <n v="29"/>
    <n v="25"/>
    <n v="21"/>
    <n v="5"/>
    <n v="43"/>
    <n v="9"/>
    <n v="43"/>
    <n v="44"/>
    <n v="4"/>
    <n v="36"/>
    <n v="150150"/>
    <n v="6452"/>
  </r>
  <r>
    <d v="2024-08-09T00:00:00"/>
    <x v="7"/>
    <n v="8"/>
    <n v="913"/>
    <n v="751"/>
    <n v="1"/>
    <n v="3"/>
    <n v="40"/>
    <n v="28"/>
    <n v="25"/>
    <n v="36"/>
    <n v="22"/>
    <n v="1"/>
    <n v="5"/>
    <n v="30"/>
    <n v="4"/>
    <n v="22"/>
    <n v="33"/>
    <n v="25"/>
    <n v="4"/>
    <n v="22"/>
    <n v="43"/>
    <n v="10"/>
    <n v="21"/>
    <n v="36"/>
    <n v="42"/>
    <n v="31"/>
    <n v="36"/>
    <n v="41"/>
    <n v="28"/>
    <n v="36"/>
    <n v="15"/>
    <n v="35"/>
    <n v="7"/>
    <n v="36"/>
    <n v="34"/>
    <n v="31"/>
    <n v="32"/>
    <n v="12"/>
    <n v="5"/>
    <n v="19"/>
    <n v="47"/>
    <n v="44"/>
    <n v="43"/>
    <n v="34"/>
    <n v="34"/>
    <n v="0"/>
    <n v="29"/>
    <n v="18"/>
    <n v="20"/>
    <n v="2"/>
    <n v="47"/>
    <n v="17"/>
    <n v="33"/>
    <n v="7"/>
    <n v="3"/>
    <n v="22"/>
    <n v="150701"/>
    <n v="6464"/>
  </r>
  <r>
    <d v="2024-08-10T00:00:00"/>
    <x v="7"/>
    <n v="8"/>
    <n v="914"/>
    <n v="752"/>
    <n v="48"/>
    <n v="16"/>
    <n v="9"/>
    <n v="1"/>
    <n v="21"/>
    <n v="49"/>
    <n v="0"/>
    <n v="46"/>
    <n v="43"/>
    <n v="6"/>
    <n v="40"/>
    <n v="37"/>
    <n v="27"/>
    <n v="30"/>
    <n v="48"/>
    <n v="32"/>
    <n v="20"/>
    <n v="28"/>
    <n v="24"/>
    <n v="27"/>
    <n v="49"/>
    <n v="24"/>
    <n v="34"/>
    <n v="21"/>
    <n v="46"/>
    <n v="37"/>
    <n v="15"/>
    <n v="38"/>
    <n v="4"/>
    <n v="13"/>
    <n v="0"/>
    <n v="23"/>
    <n v="11"/>
    <n v="29"/>
    <n v="10"/>
    <n v="12"/>
    <n v="3"/>
    <n v="0"/>
    <n v="21"/>
    <n v="49"/>
    <n v="28"/>
    <n v="23"/>
    <n v="44"/>
    <n v="39"/>
    <n v="9"/>
    <n v="49"/>
    <n v="24"/>
    <n v="12"/>
    <n v="2"/>
    <n v="20"/>
    <n v="10"/>
    <n v="9"/>
    <n v="151252"/>
    <n v="6476"/>
  </r>
  <r>
    <d v="2024-08-11T00:00:00"/>
    <x v="7"/>
    <n v="8"/>
    <n v="916"/>
    <n v="752"/>
    <n v="46"/>
    <n v="0"/>
    <n v="25"/>
    <n v="21"/>
    <n v="41"/>
    <n v="28"/>
    <n v="46"/>
    <n v="35"/>
    <n v="33"/>
    <n v="32"/>
    <n v="21"/>
    <n v="46"/>
    <n v="5"/>
    <n v="2"/>
    <n v="40"/>
    <n v="2"/>
    <n v="18"/>
    <n v="37"/>
    <n v="0"/>
    <n v="2"/>
    <n v="47"/>
    <n v="38"/>
    <n v="37"/>
    <n v="10"/>
    <n v="2"/>
    <n v="8"/>
    <n v="0"/>
    <n v="30"/>
    <n v="40"/>
    <n v="29"/>
    <n v="28"/>
    <n v="23"/>
    <n v="18"/>
    <n v="12"/>
    <n v="30"/>
    <n v="37"/>
    <n v="36"/>
    <n v="18"/>
    <n v="35"/>
    <n v="38"/>
    <n v="49"/>
    <n v="5"/>
    <n v="35"/>
    <n v="33"/>
    <n v="25"/>
    <n v="44"/>
    <n v="42"/>
    <n v="4"/>
    <n v="14"/>
    <n v="13"/>
    <n v="41"/>
    <n v="46"/>
    <n v="151802"/>
    <n v="6488"/>
  </r>
  <r>
    <d v="2024-08-12T00:00:00"/>
    <x v="7"/>
    <n v="8"/>
    <n v="918"/>
    <n v="753"/>
    <n v="19"/>
    <n v="4"/>
    <n v="46"/>
    <n v="33"/>
    <n v="37"/>
    <n v="22"/>
    <n v="35"/>
    <n v="2"/>
    <n v="11"/>
    <n v="0"/>
    <n v="21"/>
    <n v="38"/>
    <n v="24"/>
    <n v="12"/>
    <n v="29"/>
    <n v="12"/>
    <n v="7"/>
    <n v="33"/>
    <n v="45"/>
    <n v="38"/>
    <n v="20"/>
    <n v="34"/>
    <n v="12"/>
    <n v="19"/>
    <n v="29"/>
    <n v="44"/>
    <n v="44"/>
    <n v="41"/>
    <n v="13"/>
    <n v="38"/>
    <n v="38"/>
    <n v="35"/>
    <n v="43"/>
    <n v="8"/>
    <n v="15"/>
    <n v="46"/>
    <n v="16"/>
    <n v="11"/>
    <n v="36"/>
    <n v="15"/>
    <n v="15"/>
    <n v="3"/>
    <n v="21"/>
    <n v="35"/>
    <n v="27"/>
    <n v="25"/>
    <n v="36"/>
    <n v="19"/>
    <n v="16"/>
    <n v="23"/>
    <n v="31"/>
    <n v="45"/>
    <n v="152353"/>
    <n v="6500"/>
  </r>
  <r>
    <d v="2024-08-13T00:00:00"/>
    <x v="7"/>
    <n v="8"/>
    <n v="919"/>
    <n v="754"/>
    <n v="29"/>
    <n v="49"/>
    <n v="45"/>
    <n v="27"/>
    <n v="12"/>
    <n v="28"/>
    <n v="35"/>
    <n v="21"/>
    <n v="21"/>
    <n v="13"/>
    <n v="12"/>
    <n v="4"/>
    <n v="29"/>
    <n v="14"/>
    <n v="19"/>
    <n v="36"/>
    <n v="20"/>
    <n v="41"/>
    <n v="3"/>
    <n v="28"/>
    <n v="5"/>
    <n v="38"/>
    <n v="30"/>
    <n v="17"/>
    <n v="32"/>
    <n v="29"/>
    <n v="44"/>
    <n v="12"/>
    <n v="40"/>
    <n v="22"/>
    <n v="16"/>
    <n v="39"/>
    <n v="8"/>
    <n v="34"/>
    <n v="5"/>
    <n v="40"/>
    <n v="44"/>
    <n v="7"/>
    <n v="42"/>
    <n v="25"/>
    <n v="31"/>
    <n v="37"/>
    <n v="38"/>
    <n v="23"/>
    <n v="17"/>
    <n v="4"/>
    <n v="26"/>
    <n v="23"/>
    <n v="26"/>
    <n v="45"/>
    <n v="30"/>
    <n v="30"/>
    <n v="152904"/>
    <n v="6512"/>
  </r>
  <r>
    <d v="2024-08-14T00:00:00"/>
    <x v="7"/>
    <n v="8"/>
    <n v="921"/>
    <n v="754"/>
    <n v="34"/>
    <n v="38"/>
    <n v="1"/>
    <n v="33"/>
    <n v="48"/>
    <n v="30"/>
    <n v="3"/>
    <n v="23"/>
    <n v="17"/>
    <n v="17"/>
    <n v="6"/>
    <n v="11"/>
    <n v="34"/>
    <n v="45"/>
    <n v="30"/>
    <n v="0"/>
    <n v="9"/>
    <n v="13"/>
    <n v="47"/>
    <n v="49"/>
    <n v="20"/>
    <n v="45"/>
    <n v="24"/>
    <n v="15"/>
    <n v="34"/>
    <n v="42"/>
    <n v="6"/>
    <n v="7"/>
    <n v="12"/>
    <n v="48"/>
    <n v="1"/>
    <n v="7"/>
    <n v="38"/>
    <n v="3"/>
    <n v="38"/>
    <n v="29"/>
    <n v="34"/>
    <n v="40"/>
    <n v="8"/>
    <n v="0"/>
    <n v="44"/>
    <n v="39"/>
    <n v="31"/>
    <n v="19"/>
    <n v="37"/>
    <n v="23"/>
    <n v="48"/>
    <n v="16"/>
    <n v="28"/>
    <n v="37"/>
    <n v="25"/>
    <n v="7"/>
    <n v="153454"/>
    <n v="6524"/>
  </r>
  <r>
    <d v="2024-08-15T00:00:00"/>
    <x v="7"/>
    <n v="8"/>
    <n v="923"/>
    <n v="755"/>
    <n v="5"/>
    <n v="31"/>
    <n v="47"/>
    <n v="7"/>
    <n v="24"/>
    <n v="33"/>
    <n v="43"/>
    <n v="32"/>
    <n v="42"/>
    <n v="30"/>
    <n v="33"/>
    <n v="22"/>
    <n v="45"/>
    <n v="6"/>
    <n v="43"/>
    <n v="18"/>
    <n v="48"/>
    <n v="12"/>
    <n v="1"/>
    <n v="20"/>
    <n v="38"/>
    <n v="0"/>
    <n v="22"/>
    <n v="31"/>
    <n v="39"/>
    <n v="7"/>
    <n v="37"/>
    <n v="0"/>
    <n v="33"/>
    <n v="15"/>
    <n v="27"/>
    <n v="11"/>
    <n v="18"/>
    <n v="1"/>
    <n v="33"/>
    <n v="21"/>
    <n v="20"/>
    <n v="14"/>
    <n v="42"/>
    <n v="42"/>
    <n v="43"/>
    <n v="15"/>
    <n v="7"/>
    <n v="7"/>
    <n v="40"/>
    <n v="45"/>
    <n v="12"/>
    <n v="20"/>
    <n v="2"/>
    <n v="48"/>
    <n v="15"/>
    <n v="0"/>
    <n v="154005"/>
    <n v="6536"/>
  </r>
  <r>
    <d v="2024-08-16T00:00:00"/>
    <x v="7"/>
    <n v="8"/>
    <n v="924"/>
    <n v="756"/>
    <n v="7"/>
    <n v="49"/>
    <n v="32"/>
    <n v="18"/>
    <n v="5"/>
    <n v="43"/>
    <n v="15"/>
    <n v="32"/>
    <n v="21"/>
    <n v="42"/>
    <n v="44"/>
    <n v="40"/>
    <n v="35"/>
    <n v="13"/>
    <n v="7"/>
    <n v="40"/>
    <n v="16"/>
    <n v="49"/>
    <n v="48"/>
    <n v="37"/>
    <n v="20"/>
    <n v="26"/>
    <n v="34"/>
    <n v="20"/>
    <n v="28"/>
    <n v="19"/>
    <n v="7"/>
    <n v="29"/>
    <n v="1"/>
    <n v="17"/>
    <n v="31"/>
    <n v="15"/>
    <n v="16"/>
    <n v="14"/>
    <n v="12"/>
    <n v="35"/>
    <n v="10"/>
    <n v="12"/>
    <n v="15"/>
    <n v="2"/>
    <n v="3"/>
    <n v="43"/>
    <n v="43"/>
    <n v="49"/>
    <n v="25"/>
    <n v="40"/>
    <n v="3"/>
    <n v="49"/>
    <n v="43"/>
    <n v="18"/>
    <n v="45"/>
    <n v="42"/>
    <n v="154556"/>
    <n v="6548"/>
  </r>
  <r>
    <d v="2024-08-17T00:00:00"/>
    <x v="7"/>
    <n v="8"/>
    <n v="926"/>
    <n v="756"/>
    <n v="26"/>
    <n v="46"/>
    <n v="31"/>
    <n v="44"/>
    <n v="29"/>
    <n v="23"/>
    <n v="18"/>
    <n v="25"/>
    <n v="17"/>
    <n v="6"/>
    <n v="8"/>
    <n v="29"/>
    <n v="19"/>
    <n v="46"/>
    <n v="5"/>
    <n v="0"/>
    <n v="19"/>
    <n v="30"/>
    <n v="40"/>
    <n v="4"/>
    <n v="16"/>
    <n v="18"/>
    <n v="34"/>
    <n v="45"/>
    <n v="9"/>
    <n v="6"/>
    <n v="12"/>
    <n v="16"/>
    <n v="38"/>
    <n v="8"/>
    <n v="7"/>
    <n v="7"/>
    <n v="40"/>
    <n v="30"/>
    <n v="26"/>
    <n v="36"/>
    <n v="14"/>
    <n v="25"/>
    <n v="12"/>
    <n v="5"/>
    <n v="45"/>
    <n v="8"/>
    <n v="25"/>
    <n v="33"/>
    <n v="2"/>
    <n v="38"/>
    <n v="33"/>
    <n v="1"/>
    <n v="3"/>
    <n v="3"/>
    <n v="29"/>
    <n v="42"/>
    <n v="155106"/>
    <n v="6560"/>
  </r>
  <r>
    <d v="2024-08-18T00:00:00"/>
    <x v="7"/>
    <n v="8"/>
    <n v="928"/>
    <n v="757"/>
    <n v="41"/>
    <n v="28"/>
    <n v="38"/>
    <n v="37"/>
    <n v="24"/>
    <n v="39"/>
    <n v="8"/>
    <n v="38"/>
    <n v="23"/>
    <n v="42"/>
    <n v="41"/>
    <n v="11"/>
    <n v="17"/>
    <n v="12"/>
    <n v="18"/>
    <n v="23"/>
    <n v="6"/>
    <n v="43"/>
    <n v="37"/>
    <n v="27"/>
    <n v="18"/>
    <n v="35"/>
    <n v="25"/>
    <n v="4"/>
    <n v="11"/>
    <n v="44"/>
    <n v="24"/>
    <n v="16"/>
    <n v="42"/>
    <n v="36"/>
    <n v="29"/>
    <n v="36"/>
    <n v="18"/>
    <n v="9"/>
    <n v="17"/>
    <n v="1"/>
    <n v="43"/>
    <n v="35"/>
    <n v="10"/>
    <n v="46"/>
    <n v="28"/>
    <n v="31"/>
    <n v="22"/>
    <n v="20"/>
    <n v="42"/>
    <n v="1"/>
    <n v="18"/>
    <n v="1"/>
    <n v="1"/>
    <n v="28"/>
    <n v="45"/>
    <n v="5"/>
    <n v="155657"/>
    <n v="6572"/>
  </r>
  <r>
    <d v="2024-08-19T00:00:00"/>
    <x v="7"/>
    <n v="8"/>
    <n v="929"/>
    <n v="758"/>
    <n v="37"/>
    <n v="19"/>
    <n v="42"/>
    <n v="6"/>
    <n v="12"/>
    <n v="22"/>
    <n v="7"/>
    <n v="42"/>
    <n v="0"/>
    <n v="4"/>
    <n v="41"/>
    <n v="2"/>
    <n v="43"/>
    <n v="34"/>
    <n v="28"/>
    <n v="13"/>
    <n v="31"/>
    <n v="30"/>
    <n v="49"/>
    <n v="46"/>
    <n v="39"/>
    <n v="45"/>
    <n v="42"/>
    <n v="36"/>
    <n v="45"/>
    <n v="11"/>
    <n v="13"/>
    <n v="44"/>
    <n v="21"/>
    <n v="23"/>
    <n v="3"/>
    <n v="41"/>
    <n v="35"/>
    <n v="31"/>
    <n v="31"/>
    <n v="28"/>
    <n v="0"/>
    <n v="13"/>
    <n v="0"/>
    <n v="3"/>
    <n v="45"/>
    <n v="44"/>
    <n v="17"/>
    <n v="31"/>
    <n v="3"/>
    <n v="11"/>
    <n v="43"/>
    <n v="48"/>
    <n v="19"/>
    <n v="38"/>
    <n v="40"/>
    <n v="46"/>
    <n v="156208"/>
    <n v="6584"/>
  </r>
  <r>
    <d v="2024-08-20T00:00:00"/>
    <x v="7"/>
    <n v="8"/>
    <n v="931"/>
    <n v="758"/>
    <n v="35"/>
    <n v="20"/>
    <n v="34"/>
    <n v="17"/>
    <n v="42"/>
    <n v="1"/>
    <n v="19"/>
    <n v="10"/>
    <n v="43"/>
    <n v="48"/>
    <n v="40"/>
    <n v="41"/>
    <n v="21"/>
    <n v="7"/>
    <n v="19"/>
    <n v="43"/>
    <n v="48"/>
    <n v="30"/>
    <n v="15"/>
    <n v="34"/>
    <n v="16"/>
    <n v="19"/>
    <n v="27"/>
    <n v="39"/>
    <n v="11"/>
    <n v="31"/>
    <n v="16"/>
    <n v="47"/>
    <n v="44"/>
    <n v="0"/>
    <n v="34"/>
    <n v="2"/>
    <n v="8"/>
    <n v="31"/>
    <n v="28"/>
    <n v="17"/>
    <n v="34"/>
    <n v="22"/>
    <n v="32"/>
    <n v="7"/>
    <n v="30"/>
    <n v="45"/>
    <n v="17"/>
    <n v="19"/>
    <n v="47"/>
    <n v="4"/>
    <n v="27"/>
    <n v="38"/>
    <n v="10"/>
    <n v="36"/>
    <n v="31"/>
    <n v="25"/>
    <n v="156758"/>
    <n v="6596"/>
  </r>
  <r>
    <d v="2024-08-21T00:00:00"/>
    <x v="7"/>
    <n v="8"/>
    <n v="933"/>
    <n v="759"/>
    <n v="9"/>
    <n v="13"/>
    <n v="8"/>
    <n v="44"/>
    <n v="15"/>
    <n v="36"/>
    <n v="31"/>
    <n v="17"/>
    <n v="14"/>
    <n v="27"/>
    <n v="13"/>
    <n v="12"/>
    <n v="43"/>
    <n v="49"/>
    <n v="42"/>
    <n v="48"/>
    <n v="26"/>
    <n v="13"/>
    <n v="18"/>
    <n v="10"/>
    <n v="1"/>
    <n v="44"/>
    <n v="17"/>
    <n v="1"/>
    <n v="16"/>
    <n v="49"/>
    <n v="22"/>
    <n v="44"/>
    <n v="6"/>
    <n v="26"/>
    <n v="20"/>
    <n v="36"/>
    <n v="46"/>
    <n v="20"/>
    <n v="21"/>
    <n v="23"/>
    <n v="18"/>
    <n v="19"/>
    <n v="16"/>
    <n v="23"/>
    <n v="30"/>
    <n v="18"/>
    <n v="31"/>
    <n v="24"/>
    <n v="4"/>
    <n v="3"/>
    <n v="33"/>
    <n v="48"/>
    <n v="42"/>
    <n v="3"/>
    <n v="48"/>
    <n v="19"/>
    <n v="157309"/>
    <n v="6608"/>
  </r>
  <r>
    <d v="2024-08-22T00:00:00"/>
    <x v="7"/>
    <n v="8"/>
    <n v="934"/>
    <n v="760"/>
    <n v="30"/>
    <n v="15"/>
    <n v="35"/>
    <n v="16"/>
    <n v="14"/>
    <n v="40"/>
    <n v="13"/>
    <n v="34"/>
    <n v="41"/>
    <n v="8"/>
    <n v="28"/>
    <n v="20"/>
    <n v="18"/>
    <n v="9"/>
    <n v="2"/>
    <n v="3"/>
    <n v="7"/>
    <n v="24"/>
    <n v="20"/>
    <n v="25"/>
    <n v="48"/>
    <n v="44"/>
    <n v="45"/>
    <n v="43"/>
    <n v="23"/>
    <n v="15"/>
    <n v="39"/>
    <n v="33"/>
    <n v="10"/>
    <n v="15"/>
    <n v="6"/>
    <n v="49"/>
    <n v="25"/>
    <n v="14"/>
    <n v="35"/>
    <n v="9"/>
    <n v="38"/>
    <n v="48"/>
    <n v="19"/>
    <n v="49"/>
    <n v="33"/>
    <n v="47"/>
    <n v="21"/>
    <n v="19"/>
    <n v="7"/>
    <n v="21"/>
    <n v="46"/>
    <n v="6"/>
    <n v="6"/>
    <n v="32"/>
    <n v="9"/>
    <n v="48"/>
    <n v="157860"/>
    <n v="6620"/>
  </r>
  <r>
    <d v="2024-08-23T00:00:00"/>
    <x v="7"/>
    <n v="8"/>
    <n v="936"/>
    <n v="760"/>
    <n v="3"/>
    <n v="16"/>
    <n v="4"/>
    <n v="45"/>
    <n v="36"/>
    <n v="24"/>
    <n v="13"/>
    <n v="11"/>
    <n v="17"/>
    <n v="40"/>
    <n v="42"/>
    <n v="1"/>
    <n v="22"/>
    <n v="22"/>
    <n v="28"/>
    <n v="18"/>
    <n v="45"/>
    <n v="9"/>
    <n v="28"/>
    <n v="32"/>
    <n v="24"/>
    <n v="14"/>
    <n v="25"/>
    <n v="44"/>
    <n v="23"/>
    <n v="47"/>
    <n v="30"/>
    <n v="4"/>
    <n v="10"/>
    <n v="23"/>
    <n v="18"/>
    <n v="44"/>
    <n v="3"/>
    <n v="8"/>
    <n v="30"/>
    <n v="13"/>
    <n v="35"/>
    <n v="31"/>
    <n v="16"/>
    <n v="42"/>
    <n v="30"/>
    <n v="27"/>
    <n v="4"/>
    <n v="35"/>
    <n v="49"/>
    <n v="3"/>
    <n v="7"/>
    <n v="10"/>
    <n v="16"/>
    <n v="25"/>
    <n v="35"/>
    <n v="3"/>
    <n v="158410"/>
    <n v="6632"/>
  </r>
  <r>
    <d v="2024-08-24T00:00:00"/>
    <x v="7"/>
    <n v="8"/>
    <n v="937"/>
    <n v="761"/>
    <n v="7"/>
    <n v="40"/>
    <n v="23"/>
    <n v="25"/>
    <n v="4"/>
    <n v="13"/>
    <n v="26"/>
    <n v="24"/>
    <n v="28"/>
    <n v="2"/>
    <n v="24"/>
    <n v="2"/>
    <n v="41"/>
    <n v="34"/>
    <n v="10"/>
    <n v="9"/>
    <n v="0"/>
    <n v="3"/>
    <n v="43"/>
    <n v="39"/>
    <n v="34"/>
    <n v="29"/>
    <n v="37"/>
    <n v="30"/>
    <n v="19"/>
    <n v="23"/>
    <n v="29"/>
    <n v="28"/>
    <n v="24"/>
    <n v="46"/>
    <n v="26"/>
    <n v="0"/>
    <n v="38"/>
    <n v="48"/>
    <n v="0"/>
    <n v="35"/>
    <n v="40"/>
    <n v="30"/>
    <n v="26"/>
    <n v="19"/>
    <n v="38"/>
    <n v="40"/>
    <n v="28"/>
    <n v="26"/>
    <n v="13"/>
    <n v="2"/>
    <n v="33"/>
    <n v="37"/>
    <n v="25"/>
    <n v="42"/>
    <n v="45"/>
    <n v="23"/>
    <n v="158961"/>
    <n v="6644"/>
  </r>
  <r>
    <d v="2024-08-25T00:00:00"/>
    <x v="7"/>
    <n v="8"/>
    <n v="939"/>
    <n v="762"/>
    <n v="3"/>
    <n v="6"/>
    <n v="15"/>
    <n v="11"/>
    <n v="15"/>
    <n v="32"/>
    <n v="42"/>
    <n v="15"/>
    <n v="29"/>
    <n v="20"/>
    <n v="26"/>
    <n v="15"/>
    <n v="46"/>
    <n v="12"/>
    <n v="9"/>
    <n v="40"/>
    <n v="46"/>
    <n v="13"/>
    <n v="46"/>
    <n v="39"/>
    <n v="9"/>
    <n v="8"/>
    <n v="32"/>
    <n v="22"/>
    <n v="19"/>
    <n v="38"/>
    <n v="42"/>
    <n v="27"/>
    <n v="23"/>
    <n v="39"/>
    <n v="26"/>
    <n v="14"/>
    <n v="35"/>
    <n v="49"/>
    <n v="47"/>
    <n v="37"/>
    <n v="32"/>
    <n v="30"/>
    <n v="22"/>
    <n v="13"/>
    <n v="41"/>
    <n v="8"/>
    <n v="19"/>
    <n v="41"/>
    <n v="24"/>
    <n v="36"/>
    <n v="27"/>
    <n v="43"/>
    <n v="0"/>
    <n v="0"/>
    <n v="40"/>
    <n v="13"/>
    <n v="159512"/>
    <n v="6656"/>
  </r>
  <r>
    <d v="2024-08-26T00:00:00"/>
    <x v="7"/>
    <n v="8"/>
    <n v="941"/>
    <n v="763"/>
    <n v="19"/>
    <n v="3"/>
    <n v="23"/>
    <n v="24"/>
    <n v="8"/>
    <n v="12"/>
    <n v="13"/>
    <n v="19"/>
    <n v="40"/>
    <n v="48"/>
    <n v="44"/>
    <n v="14"/>
    <n v="2"/>
    <n v="32"/>
    <n v="41"/>
    <n v="37"/>
    <n v="9"/>
    <n v="25"/>
    <n v="8"/>
    <n v="21"/>
    <n v="40"/>
    <n v="44"/>
    <n v="25"/>
    <n v="35"/>
    <n v="29"/>
    <n v="38"/>
    <n v="48"/>
    <n v="32"/>
    <n v="22"/>
    <n v="3"/>
    <n v="1"/>
    <n v="47"/>
    <n v="45"/>
    <n v="43"/>
    <n v="14"/>
    <n v="24"/>
    <n v="49"/>
    <n v="48"/>
    <n v="7"/>
    <n v="4"/>
    <n v="19"/>
    <n v="46"/>
    <n v="19"/>
    <n v="19"/>
    <n v="2"/>
    <n v="2"/>
    <n v="36"/>
    <n v="47"/>
    <n v="47"/>
    <n v="18"/>
    <n v="33"/>
    <n v="44"/>
    <n v="160063"/>
    <n v="6669"/>
  </r>
  <r>
    <d v="2024-08-27T00:00:00"/>
    <x v="7"/>
    <n v="8"/>
    <n v="942"/>
    <n v="763"/>
    <n v="40"/>
    <n v="26"/>
    <n v="48"/>
    <n v="28"/>
    <n v="8"/>
    <n v="43"/>
    <n v="19"/>
    <n v="18"/>
    <n v="47"/>
    <n v="16"/>
    <n v="0"/>
    <n v="45"/>
    <n v="24"/>
    <n v="39"/>
    <n v="17"/>
    <n v="34"/>
    <n v="14"/>
    <n v="20"/>
    <n v="19"/>
    <n v="8"/>
    <n v="8"/>
    <n v="45"/>
    <n v="41"/>
    <n v="12"/>
    <n v="31"/>
    <n v="35"/>
    <n v="1"/>
    <n v="42"/>
    <n v="48"/>
    <n v="21"/>
    <n v="9"/>
    <n v="5"/>
    <n v="49"/>
    <n v="18"/>
    <n v="8"/>
    <n v="10"/>
    <n v="37"/>
    <n v="17"/>
    <n v="36"/>
    <n v="43"/>
    <n v="2"/>
    <n v="23"/>
    <n v="6"/>
    <n v="7"/>
    <n v="48"/>
    <n v="25"/>
    <n v="42"/>
    <n v="7"/>
    <n v="13"/>
    <n v="3"/>
    <n v="6"/>
    <n v="21"/>
    <n v="160613"/>
    <n v="6681"/>
  </r>
  <r>
    <d v="2024-08-28T00:00:00"/>
    <x v="7"/>
    <n v="8"/>
    <n v="944"/>
    <n v="764"/>
    <n v="22"/>
    <n v="10"/>
    <n v="36"/>
    <n v="22"/>
    <n v="14"/>
    <n v="8"/>
    <n v="11"/>
    <n v="1"/>
    <n v="33"/>
    <n v="9"/>
    <n v="9"/>
    <n v="26"/>
    <n v="28"/>
    <n v="44"/>
    <n v="34"/>
    <n v="1"/>
    <n v="22"/>
    <n v="48"/>
    <n v="13"/>
    <n v="11"/>
    <n v="46"/>
    <n v="16"/>
    <n v="4"/>
    <n v="41"/>
    <n v="0"/>
    <n v="26"/>
    <n v="13"/>
    <n v="47"/>
    <n v="29"/>
    <n v="36"/>
    <n v="1"/>
    <n v="26"/>
    <n v="20"/>
    <n v="46"/>
    <n v="10"/>
    <n v="45"/>
    <n v="0"/>
    <n v="8"/>
    <n v="47"/>
    <n v="33"/>
    <n v="11"/>
    <n v="9"/>
    <n v="0"/>
    <n v="31"/>
    <n v="1"/>
    <n v="26"/>
    <n v="6"/>
    <n v="37"/>
    <n v="30"/>
    <n v="25"/>
    <n v="31"/>
    <n v="23"/>
    <n v="161164"/>
    <n v="6693"/>
  </r>
  <r>
    <d v="2024-08-29T00:00:00"/>
    <x v="7"/>
    <n v="8"/>
    <n v="946"/>
    <n v="765"/>
    <n v="46"/>
    <n v="11"/>
    <n v="43"/>
    <n v="39"/>
    <n v="44"/>
    <n v="23"/>
    <n v="48"/>
    <n v="6"/>
    <n v="48"/>
    <n v="46"/>
    <n v="5"/>
    <n v="33"/>
    <n v="3"/>
    <n v="16"/>
    <n v="31"/>
    <n v="39"/>
    <n v="21"/>
    <n v="38"/>
    <n v="29"/>
    <n v="46"/>
    <n v="29"/>
    <n v="28"/>
    <n v="36"/>
    <n v="42"/>
    <n v="12"/>
    <n v="0"/>
    <n v="26"/>
    <n v="40"/>
    <n v="30"/>
    <n v="2"/>
    <n v="26"/>
    <n v="12"/>
    <n v="13"/>
    <n v="14"/>
    <n v="8"/>
    <n v="38"/>
    <n v="2"/>
    <n v="4"/>
    <n v="49"/>
    <n v="22"/>
    <n v="30"/>
    <n v="36"/>
    <n v="17"/>
    <n v="33"/>
    <n v="35"/>
    <n v="5"/>
    <n v="34"/>
    <n v="23"/>
    <n v="27"/>
    <n v="15"/>
    <n v="15"/>
    <n v="31"/>
    <n v="161715"/>
    <n v="6705"/>
  </r>
  <r>
    <d v="2024-08-30T00:00:00"/>
    <x v="7"/>
    <n v="8"/>
    <n v="947"/>
    <n v="765"/>
    <n v="30"/>
    <n v="28"/>
    <n v="39"/>
    <n v="8"/>
    <n v="29"/>
    <n v="10"/>
    <n v="12"/>
    <n v="19"/>
    <n v="28"/>
    <n v="28"/>
    <n v="36"/>
    <n v="1"/>
    <n v="30"/>
    <n v="32"/>
    <n v="48"/>
    <n v="26"/>
    <n v="23"/>
    <n v="7"/>
    <n v="45"/>
    <n v="2"/>
    <n v="19"/>
    <n v="6"/>
    <n v="46"/>
    <n v="6"/>
    <n v="31"/>
    <n v="3"/>
    <n v="2"/>
    <n v="5"/>
    <n v="28"/>
    <n v="41"/>
    <n v="36"/>
    <n v="6"/>
    <n v="44"/>
    <n v="17"/>
    <n v="13"/>
    <n v="46"/>
    <n v="14"/>
    <n v="37"/>
    <n v="17"/>
    <n v="9"/>
    <n v="24"/>
    <n v="5"/>
    <n v="44"/>
    <n v="17"/>
    <n v="29"/>
    <n v="41"/>
    <n v="24"/>
    <n v="42"/>
    <n v="22"/>
    <n v="21"/>
    <n v="3"/>
    <n v="19"/>
    <n v="162265"/>
    <n v="6717"/>
  </r>
  <r>
    <d v="2024-08-31T00:00:00"/>
    <x v="7"/>
    <n v="8"/>
    <n v="949"/>
    <n v="766"/>
    <n v="47"/>
    <n v="19"/>
    <n v="36"/>
    <n v="43"/>
    <n v="7"/>
    <n v="14"/>
    <n v="9"/>
    <n v="11"/>
    <n v="43"/>
    <n v="32"/>
    <n v="11"/>
    <n v="23"/>
    <n v="42"/>
    <n v="33"/>
    <n v="28"/>
    <n v="14"/>
    <n v="11"/>
    <n v="6"/>
    <n v="14"/>
    <n v="17"/>
    <n v="37"/>
    <n v="5"/>
    <n v="9"/>
    <n v="0"/>
    <n v="35"/>
    <n v="6"/>
    <n v="43"/>
    <n v="23"/>
    <n v="19"/>
    <n v="43"/>
    <n v="23"/>
    <n v="33"/>
    <n v="19"/>
    <n v="11"/>
    <n v="11"/>
    <n v="3"/>
    <n v="42"/>
    <n v="6"/>
    <n v="24"/>
    <n v="44"/>
    <n v="23"/>
    <n v="13"/>
    <n v="28"/>
    <n v="25"/>
    <n v="40"/>
    <n v="0"/>
    <n v="48"/>
    <n v="34"/>
    <n v="45"/>
    <n v="44"/>
    <n v="42"/>
    <n v="18"/>
    <n v="162816"/>
    <n v="6729"/>
  </r>
  <r>
    <d v="2024-09-01T00:00:00"/>
    <x v="8"/>
    <n v="9"/>
    <n v="951"/>
    <n v="767"/>
    <n v="17"/>
    <n v="22"/>
    <n v="31"/>
    <n v="41"/>
    <n v="1"/>
    <n v="17"/>
    <n v="34"/>
    <n v="8"/>
    <n v="43"/>
    <n v="27"/>
    <n v="28"/>
    <n v="31"/>
    <n v="6"/>
    <n v="39"/>
    <n v="42"/>
    <n v="1"/>
    <n v="24"/>
    <n v="38"/>
    <n v="6"/>
    <n v="10"/>
    <n v="43"/>
    <n v="30"/>
    <n v="33"/>
    <n v="6"/>
    <n v="31"/>
    <n v="34"/>
    <n v="12"/>
    <n v="22"/>
    <n v="40"/>
    <n v="42"/>
    <n v="33"/>
    <n v="25"/>
    <n v="39"/>
    <n v="8"/>
    <n v="37"/>
    <n v="33"/>
    <n v="12"/>
    <n v="28"/>
    <n v="4"/>
    <n v="49"/>
    <n v="34"/>
    <n v="16"/>
    <n v="41"/>
    <n v="23"/>
    <n v="42"/>
    <n v="21"/>
    <n v="13"/>
    <n v="5"/>
    <n v="4"/>
    <n v="4"/>
    <n v="33"/>
    <n v="38"/>
    <n v="163367"/>
    <n v="6741"/>
  </r>
  <r>
    <d v="2024-09-02T00:00:00"/>
    <x v="8"/>
    <n v="9"/>
    <n v="952"/>
    <n v="767"/>
    <n v="41"/>
    <n v="23"/>
    <n v="19"/>
    <n v="44"/>
    <n v="37"/>
    <n v="29"/>
    <n v="28"/>
    <n v="0"/>
    <n v="7"/>
    <n v="44"/>
    <n v="15"/>
    <n v="11"/>
    <n v="5"/>
    <n v="2"/>
    <n v="25"/>
    <n v="5"/>
    <n v="12"/>
    <n v="10"/>
    <n v="7"/>
    <n v="33"/>
    <n v="46"/>
    <n v="29"/>
    <n v="37"/>
    <n v="32"/>
    <n v="35"/>
    <n v="4"/>
    <n v="19"/>
    <n v="22"/>
    <n v="31"/>
    <n v="34"/>
    <n v="31"/>
    <n v="16"/>
    <n v="48"/>
    <n v="48"/>
    <n v="42"/>
    <n v="44"/>
    <n v="10"/>
    <n v="2"/>
    <n v="39"/>
    <n v="42"/>
    <n v="28"/>
    <n v="2"/>
    <n v="49"/>
    <n v="36"/>
    <n v="48"/>
    <n v="11"/>
    <n v="41"/>
    <n v="13"/>
    <n v="41"/>
    <n v="8"/>
    <n v="0"/>
    <n v="19"/>
    <n v="163917"/>
    <n v="6753"/>
  </r>
  <r>
    <d v="2024-09-03T00:00:00"/>
    <x v="8"/>
    <n v="9"/>
    <n v="954"/>
    <n v="768"/>
    <n v="46"/>
    <n v="31"/>
    <n v="29"/>
    <n v="1"/>
    <n v="9"/>
    <n v="14"/>
    <n v="25"/>
    <n v="29"/>
    <n v="43"/>
    <n v="8"/>
    <n v="38"/>
    <n v="12"/>
    <n v="44"/>
    <n v="7"/>
    <n v="18"/>
    <n v="40"/>
    <n v="0"/>
    <n v="49"/>
    <n v="10"/>
    <n v="48"/>
    <n v="30"/>
    <n v="27"/>
    <n v="20"/>
    <n v="20"/>
    <n v="28"/>
    <n v="45"/>
    <n v="21"/>
    <n v="6"/>
    <n v="30"/>
    <n v="28"/>
    <n v="3"/>
    <n v="48"/>
    <n v="38"/>
    <n v="43"/>
    <n v="43"/>
    <n v="34"/>
    <n v="18"/>
    <n v="16"/>
    <n v="32"/>
    <n v="2"/>
    <n v="25"/>
    <n v="20"/>
    <n v="33"/>
    <n v="10"/>
    <n v="14"/>
    <n v="34"/>
    <n v="18"/>
    <n v="46"/>
    <n v="32"/>
    <n v="4"/>
    <n v="28"/>
    <n v="11"/>
    <n v="164468"/>
    <n v="6765"/>
  </r>
  <r>
    <d v="2024-09-04T00:00:00"/>
    <x v="8"/>
    <n v="9"/>
    <n v="956"/>
    <n v="769"/>
    <n v="41"/>
    <n v="12"/>
    <n v="6"/>
    <n v="20"/>
    <n v="32"/>
    <n v="42"/>
    <n v="7"/>
    <n v="24"/>
    <n v="13"/>
    <n v="2"/>
    <n v="34"/>
    <n v="39"/>
    <n v="35"/>
    <n v="38"/>
    <n v="18"/>
    <n v="35"/>
    <n v="14"/>
    <n v="5"/>
    <n v="22"/>
    <n v="10"/>
    <n v="7"/>
    <n v="3"/>
    <n v="29"/>
    <n v="38"/>
    <n v="15"/>
    <n v="25"/>
    <n v="6"/>
    <n v="37"/>
    <n v="1"/>
    <n v="24"/>
    <n v="45"/>
    <n v="37"/>
    <n v="47"/>
    <n v="47"/>
    <n v="23"/>
    <n v="33"/>
    <n v="29"/>
    <n v="38"/>
    <n v="31"/>
    <n v="26"/>
    <n v="11"/>
    <n v="3"/>
    <n v="36"/>
    <n v="18"/>
    <n v="12"/>
    <n v="16"/>
    <n v="41"/>
    <n v="42"/>
    <n v="10"/>
    <n v="0"/>
    <n v="46"/>
    <n v="5"/>
    <n v="165019"/>
    <n v="6777"/>
  </r>
  <r>
    <d v="2024-09-05T00:00:00"/>
    <x v="8"/>
    <n v="9"/>
    <n v="957"/>
    <n v="769"/>
    <n v="46"/>
    <n v="32"/>
    <n v="8"/>
    <n v="4"/>
    <n v="18"/>
    <n v="36"/>
    <n v="20"/>
    <n v="25"/>
    <n v="31"/>
    <n v="1"/>
    <n v="15"/>
    <n v="0"/>
    <n v="42"/>
    <n v="43"/>
    <n v="45"/>
    <n v="39"/>
    <n v="44"/>
    <n v="20"/>
    <n v="31"/>
    <n v="43"/>
    <n v="32"/>
    <n v="37"/>
    <n v="0"/>
    <n v="1"/>
    <n v="21"/>
    <n v="39"/>
    <n v="16"/>
    <n v="34"/>
    <n v="7"/>
    <n v="0"/>
    <n v="35"/>
    <n v="5"/>
    <n v="17"/>
    <n v="35"/>
    <n v="31"/>
    <n v="29"/>
    <n v="26"/>
    <n v="4"/>
    <n v="8"/>
    <n v="31"/>
    <n v="5"/>
    <n v="41"/>
    <n v="9"/>
    <n v="35"/>
    <n v="20"/>
    <n v="36"/>
    <n v="48"/>
    <n v="15"/>
    <n v="36"/>
    <n v="41"/>
    <n v="42"/>
    <n v="12"/>
    <n v="165569"/>
    <n v="6789"/>
  </r>
  <r>
    <d v="2024-09-06T00:00:00"/>
    <x v="8"/>
    <n v="9"/>
    <n v="959"/>
    <n v="770"/>
    <n v="3"/>
    <n v="32"/>
    <n v="3"/>
    <n v="35"/>
    <n v="15"/>
    <n v="15"/>
    <n v="38"/>
    <n v="34"/>
    <n v="35"/>
    <n v="43"/>
    <n v="43"/>
    <n v="7"/>
    <n v="18"/>
    <n v="12"/>
    <n v="9"/>
    <n v="36"/>
    <n v="43"/>
    <n v="5"/>
    <n v="15"/>
    <n v="3"/>
    <n v="1"/>
    <n v="14"/>
    <n v="39"/>
    <n v="6"/>
    <n v="36"/>
    <n v="29"/>
    <n v="39"/>
    <n v="23"/>
    <n v="48"/>
    <n v="26"/>
    <n v="42"/>
    <n v="25"/>
    <n v="48"/>
    <n v="9"/>
    <n v="16"/>
    <n v="20"/>
    <n v="44"/>
    <n v="29"/>
    <n v="2"/>
    <n v="12"/>
    <n v="19"/>
    <n v="43"/>
    <n v="18"/>
    <n v="19"/>
    <n v="15"/>
    <n v="34"/>
    <n v="21"/>
    <n v="6"/>
    <n v="14"/>
    <n v="38"/>
    <n v="14"/>
    <n v="3"/>
    <n v="166120"/>
    <n v="6801"/>
  </r>
  <r>
    <d v="2024-09-07T00:00:00"/>
    <x v="8"/>
    <n v="9"/>
    <n v="960"/>
    <n v="771"/>
    <n v="21"/>
    <n v="6"/>
    <n v="42"/>
    <n v="19"/>
    <n v="9"/>
    <n v="12"/>
    <n v="10"/>
    <n v="40"/>
    <n v="13"/>
    <n v="18"/>
    <n v="46"/>
    <n v="2"/>
    <n v="31"/>
    <n v="43"/>
    <n v="22"/>
    <n v="10"/>
    <n v="6"/>
    <n v="23"/>
    <n v="17"/>
    <n v="40"/>
    <n v="1"/>
    <n v="26"/>
    <n v="31"/>
    <n v="43"/>
    <n v="6"/>
    <n v="47"/>
    <n v="47"/>
    <n v="28"/>
    <n v="32"/>
    <n v="24"/>
    <n v="18"/>
    <n v="8"/>
    <n v="33"/>
    <n v="28"/>
    <n v="7"/>
    <n v="18"/>
    <n v="46"/>
    <n v="1"/>
    <n v="48"/>
    <n v="11"/>
    <n v="17"/>
    <n v="41"/>
    <n v="17"/>
    <n v="13"/>
    <n v="40"/>
    <n v="17"/>
    <n v="9"/>
    <n v="38"/>
    <n v="47"/>
    <n v="2"/>
    <n v="11"/>
    <n v="27"/>
    <n v="166671"/>
    <n v="6813"/>
  </r>
  <r>
    <d v="2024-09-08T00:00:00"/>
    <x v="8"/>
    <n v="9"/>
    <n v="962"/>
    <n v="771"/>
    <n v="40"/>
    <n v="48"/>
    <n v="8"/>
    <n v="47"/>
    <n v="12"/>
    <n v="34"/>
    <n v="18"/>
    <n v="46"/>
    <n v="30"/>
    <n v="39"/>
    <n v="1"/>
    <n v="26"/>
    <n v="9"/>
    <n v="48"/>
    <n v="47"/>
    <n v="46"/>
    <n v="32"/>
    <n v="21"/>
    <n v="0"/>
    <n v="6"/>
    <n v="11"/>
    <n v="48"/>
    <n v="27"/>
    <n v="4"/>
    <n v="7"/>
    <n v="34"/>
    <n v="21"/>
    <n v="18"/>
    <n v="20"/>
    <n v="49"/>
    <n v="47"/>
    <n v="14"/>
    <n v="42"/>
    <n v="9"/>
    <n v="26"/>
    <n v="48"/>
    <n v="34"/>
    <n v="40"/>
    <n v="0"/>
    <n v="40"/>
    <n v="42"/>
    <n v="11"/>
    <n v="36"/>
    <n v="3"/>
    <n v="7"/>
    <n v="22"/>
    <n v="8"/>
    <n v="7"/>
    <n v="13"/>
    <n v="44"/>
    <n v="45"/>
    <n v="38"/>
    <n v="167221"/>
    <n v="6825"/>
  </r>
  <r>
    <d v="2024-09-09T00:00:00"/>
    <x v="8"/>
    <n v="9"/>
    <n v="964"/>
    <n v="772"/>
    <n v="25"/>
    <n v="16"/>
    <n v="16"/>
    <n v="31"/>
    <n v="33"/>
    <n v="20"/>
    <n v="1"/>
    <n v="7"/>
    <n v="1"/>
    <n v="1"/>
    <n v="19"/>
    <n v="46"/>
    <n v="8"/>
    <n v="23"/>
    <n v="30"/>
    <n v="10"/>
    <n v="48"/>
    <n v="12"/>
    <n v="0"/>
    <n v="8"/>
    <n v="8"/>
    <n v="2"/>
    <n v="19"/>
    <n v="14"/>
    <n v="30"/>
    <n v="29"/>
    <n v="45"/>
    <n v="4"/>
    <n v="34"/>
    <n v="22"/>
    <n v="32"/>
    <n v="5"/>
    <n v="8"/>
    <n v="26"/>
    <n v="8"/>
    <n v="12"/>
    <n v="17"/>
    <n v="43"/>
    <n v="28"/>
    <n v="13"/>
    <n v="45"/>
    <n v="48"/>
    <n v="45"/>
    <n v="15"/>
    <n v="38"/>
    <n v="28"/>
    <n v="47"/>
    <n v="18"/>
    <n v="26"/>
    <n v="41"/>
    <n v="32"/>
    <n v="44"/>
    <n v="167772"/>
    <n v="6837"/>
  </r>
  <r>
    <d v="2024-09-10T00:00:00"/>
    <x v="8"/>
    <n v="9"/>
    <n v="965"/>
    <n v="773"/>
    <n v="6"/>
    <n v="46"/>
    <n v="34"/>
    <n v="17"/>
    <n v="21"/>
    <n v="10"/>
    <n v="43"/>
    <n v="4"/>
    <n v="46"/>
    <n v="42"/>
    <n v="29"/>
    <n v="37"/>
    <n v="36"/>
    <n v="30"/>
    <n v="6"/>
    <n v="23"/>
    <n v="34"/>
    <n v="5"/>
    <n v="13"/>
    <n v="20"/>
    <n v="4"/>
    <n v="44"/>
    <n v="23"/>
    <n v="47"/>
    <n v="46"/>
    <n v="5"/>
    <n v="12"/>
    <n v="49"/>
    <n v="9"/>
    <n v="37"/>
    <n v="12"/>
    <n v="38"/>
    <n v="22"/>
    <n v="19"/>
    <n v="23"/>
    <n v="15"/>
    <n v="16"/>
    <n v="48"/>
    <n v="3"/>
    <n v="45"/>
    <n v="27"/>
    <n v="12"/>
    <n v="32"/>
    <n v="25"/>
    <n v="7"/>
    <n v="38"/>
    <n v="29"/>
    <n v="41"/>
    <n v="40"/>
    <n v="33"/>
    <n v="24"/>
    <n v="48"/>
    <n v="168323"/>
    <n v="6849"/>
  </r>
  <r>
    <d v="2024-09-11T00:00:00"/>
    <x v="8"/>
    <n v="9"/>
    <n v="967"/>
    <n v="773"/>
    <n v="18"/>
    <n v="41"/>
    <n v="2"/>
    <n v="13"/>
    <n v="0"/>
    <n v="24"/>
    <n v="37"/>
    <n v="24"/>
    <n v="30"/>
    <n v="8"/>
    <n v="34"/>
    <n v="40"/>
    <n v="48"/>
    <n v="31"/>
    <n v="5"/>
    <n v="25"/>
    <n v="19"/>
    <n v="9"/>
    <n v="44"/>
    <n v="49"/>
    <n v="27"/>
    <n v="10"/>
    <n v="48"/>
    <n v="19"/>
    <n v="46"/>
    <n v="24"/>
    <n v="33"/>
    <n v="1"/>
    <n v="4"/>
    <n v="47"/>
    <n v="47"/>
    <n v="10"/>
    <n v="35"/>
    <n v="2"/>
    <n v="24"/>
    <n v="42"/>
    <n v="46"/>
    <n v="47"/>
    <n v="11"/>
    <n v="15"/>
    <n v="2"/>
    <n v="8"/>
    <n v="46"/>
    <n v="18"/>
    <n v="7"/>
    <n v="27"/>
    <n v="24"/>
    <n v="44"/>
    <n v="7"/>
    <n v="13"/>
    <n v="41"/>
    <n v="13"/>
    <n v="168873"/>
    <n v="6861"/>
  </r>
  <r>
    <d v="2024-09-12T00:00:00"/>
    <x v="8"/>
    <n v="9"/>
    <n v="969"/>
    <n v="774"/>
    <n v="48"/>
    <n v="10"/>
    <n v="15"/>
    <n v="4"/>
    <n v="10"/>
    <n v="14"/>
    <n v="34"/>
    <n v="35"/>
    <n v="22"/>
    <n v="11"/>
    <n v="9"/>
    <n v="11"/>
    <n v="47"/>
    <n v="8"/>
    <n v="14"/>
    <n v="36"/>
    <n v="34"/>
    <n v="33"/>
    <n v="23"/>
    <n v="35"/>
    <n v="37"/>
    <n v="24"/>
    <n v="43"/>
    <n v="28"/>
    <n v="6"/>
    <n v="4"/>
    <n v="15"/>
    <n v="17"/>
    <n v="30"/>
    <n v="36"/>
    <n v="37"/>
    <n v="47"/>
    <n v="0"/>
    <n v="36"/>
    <n v="48"/>
    <n v="7"/>
    <n v="2"/>
    <n v="4"/>
    <n v="5"/>
    <n v="42"/>
    <n v="31"/>
    <n v="40"/>
    <n v="15"/>
    <n v="31"/>
    <n v="21"/>
    <n v="46"/>
    <n v="10"/>
    <n v="48"/>
    <n v="48"/>
    <n v="47"/>
    <n v="44"/>
    <n v="24"/>
    <n v="169424"/>
    <n v="6873"/>
  </r>
  <r>
    <d v="2024-09-13T00:00:00"/>
    <x v="8"/>
    <n v="9"/>
    <n v="970"/>
    <n v="775"/>
    <n v="48"/>
    <n v="21"/>
    <n v="12"/>
    <n v="45"/>
    <n v="18"/>
    <n v="11"/>
    <n v="1"/>
    <n v="33"/>
    <n v="23"/>
    <n v="12"/>
    <n v="34"/>
    <n v="49"/>
    <n v="0"/>
    <n v="33"/>
    <n v="45"/>
    <n v="27"/>
    <n v="8"/>
    <n v="41"/>
    <n v="10"/>
    <n v="14"/>
    <n v="39"/>
    <n v="6"/>
    <n v="21"/>
    <n v="37"/>
    <n v="0"/>
    <n v="8"/>
    <n v="2"/>
    <n v="7"/>
    <n v="37"/>
    <n v="14"/>
    <n v="30"/>
    <n v="3"/>
    <n v="7"/>
    <n v="26"/>
    <n v="35"/>
    <n v="17"/>
    <n v="32"/>
    <n v="26"/>
    <n v="20"/>
    <n v="40"/>
    <n v="27"/>
    <n v="38"/>
    <n v="17"/>
    <n v="20"/>
    <n v="29"/>
    <n v="5"/>
    <n v="40"/>
    <n v="45"/>
    <n v="4"/>
    <n v="5"/>
    <n v="41"/>
    <n v="40"/>
    <n v="169975"/>
    <n v="6886"/>
  </r>
  <r>
    <d v="2024-09-14T00:00:00"/>
    <x v="8"/>
    <n v="9"/>
    <n v="972"/>
    <n v="776"/>
    <n v="24"/>
    <n v="12"/>
    <n v="42"/>
    <n v="25"/>
    <n v="30"/>
    <n v="26"/>
    <n v="29"/>
    <n v="44"/>
    <n v="20"/>
    <n v="47"/>
    <n v="35"/>
    <n v="18"/>
    <n v="24"/>
    <n v="48"/>
    <n v="45"/>
    <n v="19"/>
    <n v="20"/>
    <n v="39"/>
    <n v="30"/>
    <n v="26"/>
    <n v="30"/>
    <n v="21"/>
    <n v="21"/>
    <n v="14"/>
    <n v="20"/>
    <n v="42"/>
    <n v="49"/>
    <n v="34"/>
    <n v="14"/>
    <n v="34"/>
    <n v="26"/>
    <n v="29"/>
    <n v="35"/>
    <n v="32"/>
    <n v="12"/>
    <n v="1"/>
    <n v="47"/>
    <n v="35"/>
    <n v="8"/>
    <n v="21"/>
    <n v="8"/>
    <n v="11"/>
    <n v="29"/>
    <n v="43"/>
    <n v="9"/>
    <n v="31"/>
    <n v="2"/>
    <n v="12"/>
    <n v="7"/>
    <n v="33"/>
    <n v="8"/>
    <n v="47"/>
    <n v="170526"/>
    <n v="6898"/>
  </r>
  <r>
    <d v="2024-09-15T00:00:00"/>
    <x v="8"/>
    <n v="9"/>
    <n v="974"/>
    <n v="776"/>
    <n v="13"/>
    <n v="13"/>
    <n v="29"/>
    <n v="20"/>
    <n v="31"/>
    <n v="48"/>
    <n v="20"/>
    <n v="6"/>
    <n v="37"/>
    <n v="3"/>
    <n v="0"/>
    <n v="5"/>
    <n v="45"/>
    <n v="24"/>
    <n v="2"/>
    <n v="48"/>
    <n v="1"/>
    <n v="6"/>
    <n v="8"/>
    <n v="29"/>
    <n v="43"/>
    <n v="38"/>
    <n v="44"/>
    <n v="0"/>
    <n v="22"/>
    <n v="19"/>
    <n v="6"/>
    <n v="40"/>
    <n v="37"/>
    <n v="5"/>
    <n v="24"/>
    <n v="38"/>
    <n v="41"/>
    <n v="41"/>
    <n v="33"/>
    <n v="9"/>
    <n v="27"/>
    <n v="35"/>
    <n v="32"/>
    <n v="28"/>
    <n v="4"/>
    <n v="22"/>
    <n v="11"/>
    <n v="33"/>
    <n v="43"/>
    <n v="37"/>
    <n v="34"/>
    <n v="6"/>
    <n v="46"/>
    <n v="15"/>
    <n v="32"/>
    <n v="39"/>
    <n v="171076"/>
    <n v="6910"/>
  </r>
  <r>
    <d v="2024-09-16T00:00:00"/>
    <x v="8"/>
    <n v="9"/>
    <n v="975"/>
    <n v="777"/>
    <n v="27"/>
    <n v="32"/>
    <n v="45"/>
    <n v="8"/>
    <n v="21"/>
    <n v="2"/>
    <n v="7"/>
    <n v="1"/>
    <n v="3"/>
    <n v="21"/>
    <n v="39"/>
    <n v="0"/>
    <n v="23"/>
    <n v="28"/>
    <n v="3"/>
    <n v="16"/>
    <n v="28"/>
    <n v="3"/>
    <n v="33"/>
    <n v="30"/>
    <n v="46"/>
    <n v="28"/>
    <n v="15"/>
    <n v="16"/>
    <n v="45"/>
    <n v="1"/>
    <n v="41"/>
    <n v="22"/>
    <n v="11"/>
    <n v="29"/>
    <n v="28"/>
    <n v="43"/>
    <n v="14"/>
    <n v="6"/>
    <n v="6"/>
    <n v="28"/>
    <n v="49"/>
    <n v="31"/>
    <n v="13"/>
    <n v="37"/>
    <n v="26"/>
    <n v="7"/>
    <n v="39"/>
    <n v="48"/>
    <n v="39"/>
    <n v="9"/>
    <n v="33"/>
    <n v="28"/>
    <n v="10"/>
    <n v="5"/>
    <n v="24"/>
    <n v="22"/>
    <n v="171627"/>
    <n v="6922"/>
  </r>
  <r>
    <d v="2024-09-17T00:00:00"/>
    <x v="8"/>
    <n v="9"/>
    <n v="977"/>
    <n v="778"/>
    <n v="1"/>
    <n v="15"/>
    <n v="34"/>
    <n v="44"/>
    <n v="24"/>
    <n v="31"/>
    <n v="23"/>
    <n v="37"/>
    <n v="34"/>
    <n v="44"/>
    <n v="31"/>
    <n v="2"/>
    <n v="41"/>
    <n v="29"/>
    <n v="28"/>
    <n v="4"/>
    <n v="4"/>
    <n v="33"/>
    <n v="2"/>
    <n v="22"/>
    <n v="43"/>
    <n v="9"/>
    <n v="39"/>
    <n v="13"/>
    <n v="12"/>
    <n v="19"/>
    <n v="21"/>
    <n v="23"/>
    <n v="27"/>
    <n v="10"/>
    <n v="34"/>
    <n v="29"/>
    <n v="7"/>
    <n v="48"/>
    <n v="9"/>
    <n v="27"/>
    <n v="48"/>
    <n v="18"/>
    <n v="17"/>
    <n v="8"/>
    <n v="43"/>
    <n v="26"/>
    <n v="29"/>
    <n v="35"/>
    <n v="2"/>
    <n v="5"/>
    <n v="18"/>
    <n v="0"/>
    <n v="46"/>
    <n v="45"/>
    <n v="41"/>
    <n v="14"/>
    <n v="172178"/>
    <n v="6934"/>
  </r>
  <r>
    <d v="2024-09-18T00:00:00"/>
    <x v="8"/>
    <n v="9"/>
    <n v="979"/>
    <n v="778"/>
    <n v="25"/>
    <n v="41"/>
    <n v="42"/>
    <n v="27"/>
    <n v="45"/>
    <n v="48"/>
    <n v="0"/>
    <n v="3"/>
    <n v="37"/>
    <n v="1"/>
    <n v="6"/>
    <n v="12"/>
    <n v="3"/>
    <n v="18"/>
    <n v="23"/>
    <n v="44"/>
    <n v="41"/>
    <n v="46"/>
    <n v="19"/>
    <n v="41"/>
    <n v="15"/>
    <n v="22"/>
    <n v="3"/>
    <n v="3"/>
    <n v="9"/>
    <n v="27"/>
    <n v="31"/>
    <n v="30"/>
    <n v="10"/>
    <n v="10"/>
    <n v="44"/>
    <n v="13"/>
    <n v="42"/>
    <n v="6"/>
    <n v="3"/>
    <n v="12"/>
    <n v="21"/>
    <n v="49"/>
    <n v="19"/>
    <n v="41"/>
    <n v="5"/>
    <n v="40"/>
    <n v="3"/>
    <n v="6"/>
    <n v="13"/>
    <n v="4"/>
    <n v="40"/>
    <n v="14"/>
    <n v="7"/>
    <n v="21"/>
    <n v="22"/>
    <n v="27"/>
    <n v="172728"/>
    <n v="6946"/>
  </r>
  <r>
    <d v="2024-09-19T00:00:00"/>
    <x v="8"/>
    <n v="9"/>
    <n v="980"/>
    <n v="779"/>
    <n v="44"/>
    <n v="14"/>
    <n v="13"/>
    <n v="35"/>
    <n v="28"/>
    <n v="29"/>
    <n v="13"/>
    <n v="26"/>
    <n v="42"/>
    <n v="26"/>
    <n v="24"/>
    <n v="2"/>
    <n v="7"/>
    <n v="19"/>
    <n v="32"/>
    <n v="15"/>
    <n v="11"/>
    <n v="5"/>
    <n v="0"/>
    <n v="24"/>
    <n v="11"/>
    <n v="33"/>
    <n v="24"/>
    <n v="4"/>
    <n v="23"/>
    <n v="12"/>
    <n v="34"/>
    <n v="27"/>
    <n v="38"/>
    <n v="29"/>
    <n v="0"/>
    <n v="46"/>
    <n v="32"/>
    <n v="5"/>
    <n v="0"/>
    <n v="39"/>
    <n v="41"/>
    <n v="7"/>
    <n v="22"/>
    <n v="45"/>
    <n v="1"/>
    <n v="9"/>
    <n v="3"/>
    <n v="6"/>
    <n v="47"/>
    <n v="42"/>
    <n v="17"/>
    <n v="44"/>
    <n v="33"/>
    <n v="27"/>
    <n v="9"/>
    <n v="24"/>
    <n v="173279"/>
    <n v="6958"/>
  </r>
  <r>
    <d v="2024-09-20T00:00:00"/>
    <x v="8"/>
    <n v="9"/>
    <n v="982"/>
    <n v="780"/>
    <n v="35"/>
    <n v="10"/>
    <n v="1"/>
    <n v="49"/>
    <n v="10"/>
    <n v="28"/>
    <n v="7"/>
    <n v="42"/>
    <n v="20"/>
    <n v="28"/>
    <n v="33"/>
    <n v="22"/>
    <n v="45"/>
    <n v="19"/>
    <n v="26"/>
    <n v="16"/>
    <n v="16"/>
    <n v="20"/>
    <n v="20"/>
    <n v="32"/>
    <n v="14"/>
    <n v="26"/>
    <n v="26"/>
    <n v="2"/>
    <n v="33"/>
    <n v="16"/>
    <n v="20"/>
    <n v="14"/>
    <n v="28"/>
    <n v="28"/>
    <n v="37"/>
    <n v="12"/>
    <n v="22"/>
    <n v="24"/>
    <n v="13"/>
    <n v="12"/>
    <n v="26"/>
    <n v="26"/>
    <n v="0"/>
    <n v="8"/>
    <n v="33"/>
    <n v="39"/>
    <n v="10"/>
    <n v="47"/>
    <n v="37"/>
    <n v="15"/>
    <n v="26"/>
    <n v="33"/>
    <n v="38"/>
    <n v="20"/>
    <n v="27"/>
    <n v="45"/>
    <n v="173830"/>
    <n v="6970"/>
  </r>
  <r>
    <d v="2024-09-21T00:00:00"/>
    <x v="8"/>
    <n v="9"/>
    <n v="983"/>
    <n v="780"/>
    <n v="9"/>
    <n v="11"/>
    <n v="30"/>
    <n v="8"/>
    <n v="31"/>
    <n v="40"/>
    <n v="10"/>
    <n v="45"/>
    <n v="47"/>
    <n v="22"/>
    <n v="2"/>
    <n v="10"/>
    <n v="21"/>
    <n v="17"/>
    <n v="25"/>
    <n v="44"/>
    <n v="43"/>
    <n v="40"/>
    <n v="30"/>
    <n v="46"/>
    <n v="46"/>
    <n v="49"/>
    <n v="9"/>
    <n v="23"/>
    <n v="31"/>
    <n v="39"/>
    <n v="6"/>
    <n v="1"/>
    <n v="27"/>
    <n v="31"/>
    <n v="49"/>
    <n v="22"/>
    <n v="31"/>
    <n v="29"/>
    <n v="8"/>
    <n v="31"/>
    <n v="39"/>
    <n v="36"/>
    <n v="2"/>
    <n v="23"/>
    <n v="1"/>
    <n v="8"/>
    <n v="7"/>
    <n v="29"/>
    <n v="35"/>
    <n v="33"/>
    <n v="6"/>
    <n v="34"/>
    <n v="5"/>
    <n v="31"/>
    <n v="1"/>
    <n v="44"/>
    <n v="174380"/>
    <n v="6982"/>
  </r>
  <r>
    <d v="2024-09-22T00:00:00"/>
    <x v="8"/>
    <n v="9"/>
    <n v="985"/>
    <n v="781"/>
    <n v="42"/>
    <n v="47"/>
    <n v="25"/>
    <n v="31"/>
    <n v="8"/>
    <n v="38"/>
    <n v="33"/>
    <n v="49"/>
    <n v="1"/>
    <n v="17"/>
    <n v="46"/>
    <n v="40"/>
    <n v="12"/>
    <n v="29"/>
    <n v="9"/>
    <n v="45"/>
    <n v="12"/>
    <n v="1"/>
    <n v="31"/>
    <n v="4"/>
    <n v="48"/>
    <n v="35"/>
    <n v="26"/>
    <n v="45"/>
    <n v="20"/>
    <n v="28"/>
    <n v="0"/>
    <n v="21"/>
    <n v="9"/>
    <n v="37"/>
    <n v="12"/>
    <n v="40"/>
    <n v="44"/>
    <n v="24"/>
    <n v="33"/>
    <n v="25"/>
    <n v="26"/>
    <n v="46"/>
    <n v="26"/>
    <n v="22"/>
    <n v="26"/>
    <n v="21"/>
    <n v="18"/>
    <n v="30"/>
    <n v="0"/>
    <n v="37"/>
    <n v="44"/>
    <n v="8"/>
    <n v="8"/>
    <n v="40"/>
    <n v="32"/>
    <n v="27"/>
    <n v="174931"/>
    <n v="6994"/>
  </r>
  <r>
    <d v="2024-09-23T00:00:00"/>
    <x v="8"/>
    <n v="9"/>
    <n v="987"/>
    <n v="782"/>
    <n v="3"/>
    <n v="33"/>
    <n v="49"/>
    <n v="37"/>
    <n v="34"/>
    <n v="48"/>
    <n v="32"/>
    <n v="44"/>
    <n v="26"/>
    <n v="40"/>
    <n v="17"/>
    <n v="16"/>
    <n v="41"/>
    <n v="46"/>
    <n v="4"/>
    <n v="43"/>
    <n v="5"/>
    <n v="0"/>
    <n v="35"/>
    <n v="4"/>
    <n v="12"/>
    <n v="43"/>
    <n v="38"/>
    <n v="24"/>
    <n v="25"/>
    <n v="27"/>
    <n v="16"/>
    <n v="16"/>
    <n v="20"/>
    <n v="11"/>
    <n v="43"/>
    <n v="33"/>
    <n v="37"/>
    <n v="20"/>
    <n v="27"/>
    <n v="1"/>
    <n v="25"/>
    <n v="36"/>
    <n v="36"/>
    <n v="29"/>
    <n v="4"/>
    <n v="14"/>
    <n v="41"/>
    <n v="20"/>
    <n v="15"/>
    <n v="6"/>
    <n v="34"/>
    <n v="14"/>
    <n v="17"/>
    <n v="29"/>
    <n v="30"/>
    <n v="14"/>
    <n v="175482"/>
    <n v="7006"/>
  </r>
  <r>
    <d v="2024-09-24T00:00:00"/>
    <x v="8"/>
    <n v="9"/>
    <n v="988"/>
    <n v="782"/>
    <n v="8"/>
    <n v="36"/>
    <n v="39"/>
    <n v="10"/>
    <n v="22"/>
    <n v="12"/>
    <n v="3"/>
    <n v="27"/>
    <n v="46"/>
    <n v="31"/>
    <n v="43"/>
    <n v="49"/>
    <n v="36"/>
    <n v="28"/>
    <n v="18"/>
    <n v="26"/>
    <n v="30"/>
    <n v="31"/>
    <n v="29"/>
    <n v="35"/>
    <n v="44"/>
    <n v="21"/>
    <n v="9"/>
    <n v="30"/>
    <n v="29"/>
    <n v="39"/>
    <n v="32"/>
    <n v="49"/>
    <n v="33"/>
    <n v="12"/>
    <n v="29"/>
    <n v="46"/>
    <n v="14"/>
    <n v="20"/>
    <n v="18"/>
    <n v="35"/>
    <n v="38"/>
    <n v="32"/>
    <n v="45"/>
    <n v="40"/>
    <n v="41"/>
    <n v="34"/>
    <n v="5"/>
    <n v="7"/>
    <n v="26"/>
    <n v="39"/>
    <n v="26"/>
    <n v="28"/>
    <n v="4"/>
    <n v="36"/>
    <n v="32"/>
    <n v="5"/>
    <n v="176032"/>
    <n v="7018"/>
  </r>
  <r>
    <d v="2024-09-25T00:00:00"/>
    <x v="8"/>
    <n v="9"/>
    <n v="990"/>
    <n v="783"/>
    <n v="39"/>
    <n v="28"/>
    <n v="34"/>
    <n v="35"/>
    <n v="38"/>
    <n v="33"/>
    <n v="37"/>
    <n v="10"/>
    <n v="34"/>
    <n v="30"/>
    <n v="40"/>
    <n v="18"/>
    <n v="22"/>
    <n v="19"/>
    <n v="30"/>
    <n v="14"/>
    <n v="23"/>
    <n v="34"/>
    <n v="41"/>
    <n v="16"/>
    <n v="21"/>
    <n v="9"/>
    <n v="24"/>
    <n v="19"/>
    <n v="2"/>
    <n v="29"/>
    <n v="13"/>
    <n v="22"/>
    <n v="47"/>
    <n v="24"/>
    <n v="37"/>
    <n v="46"/>
    <n v="11"/>
    <n v="13"/>
    <n v="30"/>
    <n v="40"/>
    <n v="43"/>
    <n v="3"/>
    <n v="16"/>
    <n v="33"/>
    <n v="31"/>
    <n v="38"/>
    <n v="33"/>
    <n v="46"/>
    <n v="10"/>
    <n v="26"/>
    <n v="13"/>
    <n v="27"/>
    <n v="20"/>
    <n v="45"/>
    <n v="10"/>
    <n v="22"/>
    <n v="176583"/>
    <n v="7030"/>
  </r>
  <r>
    <d v="2024-09-26T00:00:00"/>
    <x v="8"/>
    <n v="9"/>
    <n v="992"/>
    <n v="784"/>
    <n v="45"/>
    <n v="16"/>
    <n v="5"/>
    <n v="13"/>
    <n v="47"/>
    <n v="47"/>
    <n v="46"/>
    <n v="39"/>
    <n v="26"/>
    <n v="22"/>
    <n v="23"/>
    <n v="7"/>
    <n v="44"/>
    <n v="19"/>
    <n v="4"/>
    <n v="35"/>
    <n v="39"/>
    <n v="40"/>
    <n v="28"/>
    <n v="40"/>
    <n v="33"/>
    <n v="14"/>
    <n v="34"/>
    <n v="28"/>
    <n v="7"/>
    <n v="46"/>
    <n v="22"/>
    <n v="19"/>
    <n v="49"/>
    <n v="21"/>
    <n v="6"/>
    <n v="12"/>
    <n v="19"/>
    <n v="15"/>
    <n v="0"/>
    <n v="5"/>
    <n v="38"/>
    <n v="15"/>
    <n v="26"/>
    <n v="33"/>
    <n v="34"/>
    <n v="13"/>
    <n v="22"/>
    <n v="45"/>
    <n v="3"/>
    <n v="18"/>
    <n v="8"/>
    <n v="40"/>
    <n v="1"/>
    <n v="25"/>
    <n v="28"/>
    <n v="4"/>
    <n v="177134"/>
    <n v="7042"/>
  </r>
  <r>
    <d v="2024-09-27T00:00:00"/>
    <x v="8"/>
    <n v="9"/>
    <n v="993"/>
    <n v="784"/>
    <n v="5"/>
    <n v="22"/>
    <n v="2"/>
    <n v="6"/>
    <n v="11"/>
    <n v="48"/>
    <n v="28"/>
    <n v="49"/>
    <n v="12"/>
    <n v="9"/>
    <n v="42"/>
    <n v="8"/>
    <n v="41"/>
    <n v="20"/>
    <n v="21"/>
    <n v="11"/>
    <n v="38"/>
    <n v="21"/>
    <n v="31"/>
    <n v="42"/>
    <n v="39"/>
    <n v="13"/>
    <n v="36"/>
    <n v="6"/>
    <n v="48"/>
    <n v="46"/>
    <n v="9"/>
    <n v="46"/>
    <n v="7"/>
    <n v="42"/>
    <n v="46"/>
    <n v="33"/>
    <n v="13"/>
    <n v="44"/>
    <n v="15"/>
    <n v="0"/>
    <n v="16"/>
    <n v="4"/>
    <n v="42"/>
    <n v="23"/>
    <n v="7"/>
    <n v="12"/>
    <n v="41"/>
    <n v="21"/>
    <n v="9"/>
    <n v="37"/>
    <n v="37"/>
    <n v="42"/>
    <n v="11"/>
    <n v="42"/>
    <n v="6"/>
    <n v="35"/>
    <n v="177684"/>
    <n v="7054"/>
  </r>
  <r>
    <d v="2024-09-28T00:00:00"/>
    <x v="8"/>
    <n v="9"/>
    <n v="995"/>
    <n v="785"/>
    <n v="30"/>
    <n v="44"/>
    <n v="15"/>
    <n v="37"/>
    <n v="4"/>
    <n v="29"/>
    <n v="0"/>
    <n v="27"/>
    <n v="44"/>
    <n v="45"/>
    <n v="26"/>
    <n v="0"/>
    <n v="7"/>
    <n v="39"/>
    <n v="19"/>
    <n v="7"/>
    <n v="27"/>
    <n v="13"/>
    <n v="13"/>
    <n v="21"/>
    <n v="22"/>
    <n v="17"/>
    <n v="6"/>
    <n v="45"/>
    <n v="23"/>
    <n v="41"/>
    <n v="24"/>
    <n v="23"/>
    <n v="31"/>
    <n v="35"/>
    <n v="0"/>
    <n v="30"/>
    <n v="41"/>
    <n v="17"/>
    <n v="21"/>
    <n v="42"/>
    <n v="15"/>
    <n v="11"/>
    <n v="13"/>
    <n v="36"/>
    <n v="2"/>
    <n v="28"/>
    <n v="19"/>
    <n v="35"/>
    <n v="19"/>
    <n v="17"/>
    <n v="0"/>
    <n v="9"/>
    <n v="30"/>
    <n v="17"/>
    <n v="12"/>
    <n v="5"/>
    <n v="178235"/>
    <n v="7066"/>
  </r>
  <r>
    <d v="2024-09-29T00:00:00"/>
    <x v="8"/>
    <n v="9"/>
    <n v="997"/>
    <n v="786"/>
    <n v="46"/>
    <n v="41"/>
    <n v="40"/>
    <n v="40"/>
    <n v="32"/>
    <n v="35"/>
    <n v="11"/>
    <n v="32"/>
    <n v="12"/>
    <n v="9"/>
    <n v="41"/>
    <n v="19"/>
    <n v="2"/>
    <n v="23"/>
    <n v="5"/>
    <n v="0"/>
    <n v="3"/>
    <n v="19"/>
    <n v="21"/>
    <n v="41"/>
    <n v="37"/>
    <n v="4"/>
    <n v="0"/>
    <n v="27"/>
    <n v="32"/>
    <n v="20"/>
    <n v="3"/>
    <n v="19"/>
    <n v="8"/>
    <n v="26"/>
    <n v="12"/>
    <n v="12"/>
    <n v="49"/>
    <n v="19"/>
    <n v="32"/>
    <n v="34"/>
    <n v="27"/>
    <n v="18"/>
    <n v="45"/>
    <n v="5"/>
    <n v="26"/>
    <n v="30"/>
    <n v="39"/>
    <n v="7"/>
    <n v="49"/>
    <n v="34"/>
    <n v="37"/>
    <n v="39"/>
    <n v="43"/>
    <n v="15"/>
    <n v="15"/>
    <n v="41"/>
    <n v="178786"/>
    <n v="7078"/>
  </r>
  <r>
    <d v="2024-09-30T00:00:00"/>
    <x v="8"/>
    <n v="9"/>
    <n v="998"/>
    <n v="786"/>
    <n v="8"/>
    <n v="38"/>
    <n v="8"/>
    <n v="19"/>
    <n v="39"/>
    <n v="14"/>
    <n v="4"/>
    <n v="47"/>
    <n v="31"/>
    <n v="44"/>
    <n v="3"/>
    <n v="45"/>
    <n v="48"/>
    <n v="35"/>
    <n v="14"/>
    <n v="31"/>
    <n v="37"/>
    <n v="28"/>
    <n v="7"/>
    <n v="40"/>
    <n v="24"/>
    <n v="13"/>
    <n v="23"/>
    <n v="12"/>
    <n v="9"/>
    <n v="11"/>
    <n v="24"/>
    <n v="1"/>
    <n v="1"/>
    <n v="19"/>
    <n v="45"/>
    <n v="35"/>
    <n v="43"/>
    <n v="23"/>
    <n v="36"/>
    <n v="38"/>
    <n v="7"/>
    <n v="41"/>
    <n v="27"/>
    <n v="28"/>
    <n v="3"/>
    <n v="43"/>
    <n v="31"/>
    <n v="28"/>
    <n v="40"/>
    <n v="17"/>
    <n v="12"/>
    <n v="18"/>
    <n v="5"/>
    <n v="35"/>
    <n v="41"/>
    <n v="23"/>
    <n v="179336"/>
    <n v="7090"/>
  </r>
  <r>
    <d v="2024-10-01T00:00:00"/>
    <x v="9"/>
    <n v="10"/>
    <n v="1000"/>
    <n v="787"/>
    <n v="13"/>
    <n v="6"/>
    <n v="48"/>
    <n v="43"/>
    <n v="29"/>
    <n v="44"/>
    <n v="3"/>
    <n v="44"/>
    <n v="25"/>
    <n v="25"/>
    <n v="14"/>
    <n v="45"/>
    <n v="3"/>
    <n v="28"/>
    <n v="21"/>
    <n v="29"/>
    <n v="7"/>
    <n v="6"/>
    <n v="5"/>
    <n v="40"/>
    <n v="3"/>
    <n v="29"/>
    <n v="18"/>
    <n v="48"/>
    <n v="2"/>
    <n v="24"/>
    <n v="29"/>
    <n v="2"/>
    <n v="48"/>
    <n v="39"/>
    <n v="22"/>
    <n v="31"/>
    <n v="32"/>
    <n v="37"/>
    <n v="5"/>
    <n v="8"/>
    <n v="16"/>
    <n v="44"/>
    <n v="8"/>
    <n v="11"/>
    <n v="41"/>
    <n v="7"/>
    <n v="26"/>
    <n v="19"/>
    <n v="1"/>
    <n v="1"/>
    <n v="21"/>
    <n v="19"/>
    <n v="25"/>
    <n v="6"/>
    <n v="15"/>
    <n v="39"/>
    <n v="179887"/>
    <n v="7103"/>
  </r>
  <r>
    <d v="2024-10-02T00:00:00"/>
    <x v="9"/>
    <n v="10"/>
    <n v="1002"/>
    <n v="788"/>
    <n v="13"/>
    <n v="2"/>
    <n v="14"/>
    <n v="32"/>
    <n v="44"/>
    <n v="14"/>
    <n v="40"/>
    <n v="9"/>
    <n v="1"/>
    <n v="24"/>
    <n v="27"/>
    <n v="30"/>
    <n v="41"/>
    <n v="5"/>
    <n v="34"/>
    <n v="14"/>
    <n v="11"/>
    <n v="37"/>
    <n v="9"/>
    <n v="31"/>
    <n v="29"/>
    <n v="13"/>
    <n v="43"/>
    <n v="5"/>
    <n v="9"/>
    <n v="1"/>
    <n v="33"/>
    <n v="47"/>
    <n v="4"/>
    <n v="1"/>
    <n v="28"/>
    <n v="22"/>
    <n v="34"/>
    <n v="47"/>
    <n v="18"/>
    <n v="45"/>
    <n v="26"/>
    <n v="31"/>
    <n v="4"/>
    <n v="4"/>
    <n v="18"/>
    <n v="9"/>
    <n v="47"/>
    <n v="40"/>
    <n v="15"/>
    <n v="31"/>
    <n v="9"/>
    <n v="5"/>
    <n v="24"/>
    <n v="10"/>
    <n v="22"/>
    <n v="28"/>
    <n v="180438"/>
    <n v="7115"/>
  </r>
  <r>
    <d v="2024-10-03T00:00:00"/>
    <x v="9"/>
    <n v="10"/>
    <n v="1003"/>
    <n v="789"/>
    <n v="7"/>
    <n v="29"/>
    <n v="24"/>
    <n v="33"/>
    <n v="45"/>
    <n v="14"/>
    <n v="22"/>
    <n v="24"/>
    <n v="12"/>
    <n v="9"/>
    <n v="37"/>
    <n v="47"/>
    <n v="19"/>
    <n v="30"/>
    <n v="11"/>
    <n v="15"/>
    <n v="43"/>
    <n v="37"/>
    <n v="32"/>
    <n v="36"/>
    <n v="42"/>
    <n v="34"/>
    <n v="31"/>
    <n v="12"/>
    <n v="17"/>
    <n v="44"/>
    <n v="28"/>
    <n v="35"/>
    <n v="0"/>
    <n v="33"/>
    <n v="10"/>
    <n v="2"/>
    <n v="18"/>
    <n v="23"/>
    <n v="4"/>
    <n v="19"/>
    <n v="24"/>
    <n v="2"/>
    <n v="8"/>
    <n v="26"/>
    <n v="47"/>
    <n v="26"/>
    <n v="39"/>
    <n v="0"/>
    <n v="33"/>
    <n v="41"/>
    <n v="39"/>
    <n v="3"/>
    <n v="43"/>
    <n v="39"/>
    <n v="42"/>
    <n v="17"/>
    <n v="180989"/>
    <n v="7127"/>
  </r>
  <r>
    <d v="2024-10-04T00:00:00"/>
    <x v="9"/>
    <n v="10"/>
    <n v="1005"/>
    <n v="789"/>
    <n v="37"/>
    <n v="35"/>
    <n v="46"/>
    <n v="12"/>
    <n v="34"/>
    <n v="43"/>
    <n v="25"/>
    <n v="9"/>
    <n v="36"/>
    <n v="43"/>
    <n v="31"/>
    <n v="49"/>
    <n v="29"/>
    <n v="44"/>
    <n v="31"/>
    <n v="44"/>
    <n v="33"/>
    <n v="11"/>
    <n v="25"/>
    <n v="44"/>
    <n v="39"/>
    <n v="13"/>
    <n v="14"/>
    <n v="24"/>
    <n v="39"/>
    <n v="26"/>
    <n v="9"/>
    <n v="0"/>
    <n v="26"/>
    <n v="25"/>
    <n v="33"/>
    <n v="5"/>
    <n v="30"/>
    <n v="21"/>
    <n v="9"/>
    <n v="44"/>
    <n v="39"/>
    <n v="18"/>
    <n v="11"/>
    <n v="2"/>
    <n v="32"/>
    <n v="10"/>
    <n v="7"/>
    <n v="0"/>
    <n v="23"/>
    <n v="14"/>
    <n v="26"/>
    <n v="18"/>
    <n v="5"/>
    <n v="39"/>
    <n v="6"/>
    <n v="26"/>
    <n v="181539"/>
    <n v="7139"/>
  </r>
  <r>
    <d v="2024-10-05T00:00:00"/>
    <x v="9"/>
    <n v="10"/>
    <n v="1006"/>
    <n v="790"/>
    <n v="34"/>
    <n v="39"/>
    <n v="46"/>
    <n v="2"/>
    <n v="6"/>
    <n v="16"/>
    <n v="7"/>
    <n v="33"/>
    <n v="28"/>
    <n v="20"/>
    <n v="6"/>
    <n v="40"/>
    <n v="49"/>
    <n v="40"/>
    <n v="13"/>
    <n v="15"/>
    <n v="14"/>
    <n v="38"/>
    <n v="6"/>
    <n v="40"/>
    <n v="34"/>
    <n v="37"/>
    <n v="20"/>
    <n v="22"/>
    <n v="24"/>
    <n v="37"/>
    <n v="12"/>
    <n v="19"/>
    <n v="37"/>
    <n v="42"/>
    <n v="40"/>
    <n v="4"/>
    <n v="20"/>
    <n v="44"/>
    <n v="38"/>
    <n v="42"/>
    <n v="21"/>
    <n v="14"/>
    <n v="42"/>
    <n v="9"/>
    <n v="36"/>
    <n v="17"/>
    <n v="24"/>
    <n v="0"/>
    <n v="23"/>
    <n v="35"/>
    <n v="45"/>
    <n v="43"/>
    <n v="18"/>
    <n v="18"/>
    <n v="19"/>
    <n v="42"/>
    <n v="182090"/>
    <n v="7151"/>
  </r>
  <r>
    <d v="2024-10-06T00:00:00"/>
    <x v="9"/>
    <n v="10"/>
    <n v="1008"/>
    <n v="791"/>
    <n v="9"/>
    <n v="12"/>
    <n v="12"/>
    <n v="30"/>
    <n v="19"/>
    <n v="9"/>
    <n v="30"/>
    <n v="3"/>
    <n v="15"/>
    <n v="6"/>
    <n v="42"/>
    <n v="21"/>
    <n v="23"/>
    <n v="10"/>
    <n v="48"/>
    <n v="33"/>
    <n v="28"/>
    <n v="48"/>
    <n v="10"/>
    <n v="45"/>
    <n v="24"/>
    <n v="20"/>
    <n v="41"/>
    <n v="36"/>
    <n v="41"/>
    <n v="10"/>
    <n v="16"/>
    <n v="3"/>
    <n v="37"/>
    <n v="15"/>
    <n v="28"/>
    <n v="41"/>
    <n v="43"/>
    <n v="19"/>
    <n v="30"/>
    <n v="36"/>
    <n v="17"/>
    <n v="45"/>
    <n v="32"/>
    <n v="26"/>
    <n v="4"/>
    <n v="10"/>
    <n v="10"/>
    <n v="24"/>
    <n v="38"/>
    <n v="48"/>
    <n v="15"/>
    <n v="45"/>
    <n v="48"/>
    <n v="34"/>
    <n v="12"/>
    <n v="20"/>
    <n v="182641"/>
    <n v="7163"/>
  </r>
  <r>
    <d v="2024-10-07T00:00:00"/>
    <x v="9"/>
    <n v="10"/>
    <n v="1010"/>
    <n v="791"/>
    <n v="7"/>
    <n v="2"/>
    <n v="9"/>
    <n v="31"/>
    <n v="5"/>
    <n v="48"/>
    <n v="47"/>
    <n v="46"/>
    <n v="34"/>
    <n v="13"/>
    <n v="42"/>
    <n v="48"/>
    <n v="21"/>
    <n v="2"/>
    <n v="48"/>
    <n v="26"/>
    <n v="11"/>
    <n v="10"/>
    <n v="48"/>
    <n v="0"/>
    <n v="6"/>
    <n v="18"/>
    <n v="32"/>
    <n v="45"/>
    <n v="40"/>
    <n v="31"/>
    <n v="48"/>
    <n v="30"/>
    <n v="45"/>
    <n v="18"/>
    <n v="18"/>
    <n v="49"/>
    <n v="42"/>
    <n v="48"/>
    <n v="19"/>
    <n v="22"/>
    <n v="37"/>
    <n v="22"/>
    <n v="21"/>
    <n v="40"/>
    <n v="15"/>
    <n v="43"/>
    <n v="44"/>
    <n v="8"/>
    <n v="0"/>
    <n v="36"/>
    <n v="36"/>
    <n v="47"/>
    <n v="5"/>
    <n v="10"/>
    <n v="21"/>
    <n v="12"/>
    <n v="183191"/>
    <n v="7175"/>
  </r>
  <r>
    <d v="2024-10-08T00:00:00"/>
    <x v="9"/>
    <n v="10"/>
    <n v="1011"/>
    <n v="792"/>
    <n v="47"/>
    <n v="5"/>
    <n v="32"/>
    <n v="20"/>
    <n v="9"/>
    <n v="19"/>
    <n v="45"/>
    <n v="27"/>
    <n v="31"/>
    <n v="22"/>
    <n v="40"/>
    <n v="0"/>
    <n v="41"/>
    <n v="40"/>
    <n v="6"/>
    <n v="6"/>
    <n v="17"/>
    <n v="43"/>
    <n v="11"/>
    <n v="17"/>
    <n v="0"/>
    <n v="14"/>
    <n v="48"/>
    <n v="14"/>
    <n v="2"/>
    <n v="21"/>
    <n v="47"/>
    <n v="46"/>
    <n v="24"/>
    <n v="49"/>
    <n v="5"/>
    <n v="23"/>
    <n v="23"/>
    <n v="8"/>
    <n v="47"/>
    <n v="26"/>
    <n v="13"/>
    <n v="27"/>
    <n v="29"/>
    <n v="45"/>
    <n v="3"/>
    <n v="31"/>
    <n v="49"/>
    <n v="16"/>
    <n v="33"/>
    <n v="4"/>
    <n v="1"/>
    <n v="45"/>
    <n v="7"/>
    <n v="26"/>
    <n v="43"/>
    <n v="29"/>
    <n v="183742"/>
    <n v="7187"/>
  </r>
  <r>
    <d v="2024-10-09T00:00:00"/>
    <x v="9"/>
    <n v="10"/>
    <n v="1013"/>
    <n v="793"/>
    <n v="14"/>
    <n v="38"/>
    <n v="16"/>
    <n v="12"/>
    <n v="17"/>
    <n v="17"/>
    <n v="30"/>
    <n v="41"/>
    <n v="15"/>
    <n v="33"/>
    <n v="34"/>
    <n v="0"/>
    <n v="19"/>
    <n v="31"/>
    <n v="30"/>
    <n v="24"/>
    <n v="27"/>
    <n v="46"/>
    <n v="16"/>
    <n v="18"/>
    <n v="43"/>
    <n v="46"/>
    <n v="38"/>
    <n v="16"/>
    <n v="33"/>
    <n v="3"/>
    <n v="22"/>
    <n v="2"/>
    <n v="17"/>
    <n v="1"/>
    <n v="41"/>
    <n v="22"/>
    <n v="3"/>
    <n v="42"/>
    <n v="13"/>
    <n v="27"/>
    <n v="44"/>
    <n v="26"/>
    <n v="28"/>
    <n v="8"/>
    <n v="19"/>
    <n v="45"/>
    <n v="48"/>
    <n v="25"/>
    <n v="7"/>
    <n v="21"/>
    <n v="29"/>
    <n v="19"/>
    <n v="31"/>
    <n v="16"/>
    <n v="34"/>
    <n v="4"/>
    <n v="184293"/>
    <n v="7199"/>
  </r>
  <r>
    <d v="2024-10-10T00:00:00"/>
    <x v="9"/>
    <n v="10"/>
    <n v="1015"/>
    <n v="793"/>
    <n v="10"/>
    <n v="8"/>
    <n v="39"/>
    <n v="41"/>
    <n v="42"/>
    <n v="46"/>
    <n v="46"/>
    <n v="30"/>
    <n v="40"/>
    <n v="49"/>
    <n v="28"/>
    <n v="49"/>
    <n v="24"/>
    <n v="39"/>
    <n v="45"/>
    <n v="9"/>
    <n v="14"/>
    <n v="37"/>
    <n v="38"/>
    <n v="21"/>
    <n v="48"/>
    <n v="39"/>
    <n v="49"/>
    <n v="20"/>
    <n v="35"/>
    <n v="13"/>
    <n v="26"/>
    <n v="32"/>
    <n v="7"/>
    <n v="35"/>
    <n v="43"/>
    <n v="17"/>
    <n v="30"/>
    <n v="15"/>
    <n v="46"/>
    <n v="2"/>
    <n v="13"/>
    <n v="47"/>
    <n v="18"/>
    <n v="1"/>
    <n v="16"/>
    <n v="44"/>
    <n v="36"/>
    <n v="9"/>
    <n v="44"/>
    <n v="2"/>
    <n v="13"/>
    <n v="33"/>
    <n v="11"/>
    <n v="8"/>
    <n v="13"/>
    <n v="45"/>
    <n v="184843"/>
    <n v="7211"/>
  </r>
  <r>
    <d v="2024-10-11T00:00:00"/>
    <x v="9"/>
    <n v="10"/>
    <n v="1016"/>
    <n v="794"/>
    <n v="46"/>
    <n v="2"/>
    <n v="15"/>
    <n v="8"/>
    <n v="12"/>
    <n v="32"/>
    <n v="6"/>
    <n v="43"/>
    <n v="8"/>
    <n v="34"/>
    <n v="10"/>
    <n v="11"/>
    <n v="5"/>
    <n v="7"/>
    <n v="15"/>
    <n v="33"/>
    <n v="7"/>
    <n v="4"/>
    <n v="11"/>
    <n v="38"/>
    <n v="16"/>
    <n v="31"/>
    <n v="21"/>
    <n v="29"/>
    <n v="18"/>
    <n v="21"/>
    <n v="8"/>
    <n v="16"/>
    <n v="18"/>
    <n v="27"/>
    <n v="31"/>
    <n v="30"/>
    <n v="24"/>
    <n v="48"/>
    <n v="29"/>
    <n v="14"/>
    <n v="3"/>
    <n v="37"/>
    <n v="26"/>
    <n v="18"/>
    <n v="35"/>
    <n v="36"/>
    <n v="44"/>
    <n v="17"/>
    <n v="3"/>
    <n v="30"/>
    <n v="33"/>
    <n v="12"/>
    <n v="7"/>
    <n v="1"/>
    <n v="12"/>
    <n v="48"/>
    <n v="185394"/>
    <n v="7223"/>
  </r>
  <r>
    <d v="2024-10-12T00:00:00"/>
    <x v="9"/>
    <n v="10"/>
    <n v="1018"/>
    <n v="795"/>
    <n v="23"/>
    <n v="9"/>
    <n v="6"/>
    <n v="35"/>
    <n v="31"/>
    <n v="44"/>
    <n v="38"/>
    <n v="25"/>
    <n v="44"/>
    <n v="12"/>
    <n v="25"/>
    <n v="19"/>
    <n v="3"/>
    <n v="34"/>
    <n v="46"/>
    <n v="26"/>
    <n v="7"/>
    <n v="38"/>
    <n v="17"/>
    <n v="46"/>
    <n v="2"/>
    <n v="40"/>
    <n v="9"/>
    <n v="10"/>
    <n v="43"/>
    <n v="14"/>
    <n v="7"/>
    <n v="19"/>
    <n v="23"/>
    <n v="29"/>
    <n v="36"/>
    <n v="44"/>
    <n v="40"/>
    <n v="12"/>
    <n v="25"/>
    <n v="25"/>
    <n v="23"/>
    <n v="4"/>
    <n v="10"/>
    <n v="12"/>
    <n v="6"/>
    <n v="6"/>
    <n v="32"/>
    <n v="24"/>
    <n v="20"/>
    <n v="10"/>
    <n v="2"/>
    <n v="27"/>
    <n v="34"/>
    <n v="21"/>
    <n v="32"/>
    <n v="1"/>
    <n v="185945"/>
    <n v="7235"/>
  </r>
  <r>
    <d v="2024-10-13T00:00:00"/>
    <x v="9"/>
    <n v="10"/>
    <n v="1020"/>
    <n v="795"/>
    <n v="38"/>
    <n v="12"/>
    <n v="41"/>
    <n v="18"/>
    <n v="23"/>
    <n v="0"/>
    <n v="23"/>
    <n v="40"/>
    <n v="2"/>
    <n v="26"/>
    <n v="13"/>
    <n v="15"/>
    <n v="3"/>
    <n v="47"/>
    <n v="16"/>
    <n v="21"/>
    <n v="18"/>
    <n v="0"/>
    <n v="41"/>
    <n v="7"/>
    <n v="23"/>
    <n v="29"/>
    <n v="6"/>
    <n v="9"/>
    <n v="48"/>
    <n v="44"/>
    <n v="16"/>
    <n v="3"/>
    <n v="8"/>
    <n v="38"/>
    <n v="17"/>
    <n v="26"/>
    <n v="34"/>
    <n v="26"/>
    <n v="28"/>
    <n v="8"/>
    <n v="5"/>
    <n v="45"/>
    <n v="0"/>
    <n v="18"/>
    <n v="20"/>
    <n v="42"/>
    <n v="25"/>
    <n v="36"/>
    <n v="15"/>
    <n v="12"/>
    <n v="13"/>
    <n v="4"/>
    <n v="33"/>
    <n v="37"/>
    <n v="2"/>
    <n v="18"/>
    <n v="186495"/>
    <n v="7247"/>
  </r>
  <r>
    <d v="2024-10-14T00:00:00"/>
    <x v="9"/>
    <n v="10"/>
    <n v="1021"/>
    <n v="796"/>
    <n v="12"/>
    <n v="18"/>
    <n v="43"/>
    <n v="45"/>
    <n v="8"/>
    <n v="11"/>
    <n v="15"/>
    <n v="45"/>
    <n v="5"/>
    <n v="14"/>
    <n v="28"/>
    <n v="27"/>
    <n v="3"/>
    <n v="41"/>
    <n v="29"/>
    <n v="37"/>
    <n v="2"/>
    <n v="14"/>
    <n v="37"/>
    <n v="25"/>
    <n v="10"/>
    <n v="15"/>
    <n v="34"/>
    <n v="39"/>
    <n v="30"/>
    <n v="2"/>
    <n v="10"/>
    <n v="4"/>
    <n v="20"/>
    <n v="48"/>
    <n v="2"/>
    <n v="28"/>
    <n v="48"/>
    <n v="21"/>
    <n v="32"/>
    <n v="33"/>
    <n v="4"/>
    <n v="34"/>
    <n v="15"/>
    <n v="32"/>
    <n v="23"/>
    <n v="38"/>
    <n v="42"/>
    <n v="3"/>
    <n v="43"/>
    <n v="49"/>
    <n v="33"/>
    <n v="41"/>
    <n v="40"/>
    <n v="48"/>
    <n v="13"/>
    <n v="14"/>
    <n v="187046"/>
    <n v="7259"/>
  </r>
  <r>
    <d v="2024-10-15T00:00:00"/>
    <x v="9"/>
    <n v="10"/>
    <n v="1023"/>
    <n v="797"/>
    <n v="17"/>
    <n v="5"/>
    <n v="25"/>
    <n v="2"/>
    <n v="44"/>
    <n v="45"/>
    <n v="11"/>
    <n v="41"/>
    <n v="38"/>
    <n v="16"/>
    <n v="48"/>
    <n v="32"/>
    <n v="32"/>
    <n v="31"/>
    <n v="7"/>
    <n v="40"/>
    <n v="22"/>
    <n v="23"/>
    <n v="11"/>
    <n v="48"/>
    <n v="6"/>
    <n v="49"/>
    <n v="7"/>
    <n v="48"/>
    <n v="5"/>
    <n v="43"/>
    <n v="18"/>
    <n v="33"/>
    <n v="18"/>
    <n v="14"/>
    <n v="11"/>
    <n v="34"/>
    <n v="28"/>
    <n v="49"/>
    <n v="46"/>
    <n v="21"/>
    <n v="43"/>
    <n v="46"/>
    <n v="46"/>
    <n v="37"/>
    <n v="35"/>
    <n v="3"/>
    <n v="4"/>
    <n v="41"/>
    <n v="32"/>
    <n v="36"/>
    <n v="22"/>
    <n v="17"/>
    <n v="18"/>
    <n v="11"/>
    <n v="19"/>
    <n v="26"/>
    <n v="187597"/>
    <n v="7271"/>
  </r>
  <r>
    <d v="2024-10-16T00:00:00"/>
    <x v="9"/>
    <n v="10"/>
    <n v="1025"/>
    <n v="797"/>
    <n v="17"/>
    <n v="29"/>
    <n v="41"/>
    <n v="34"/>
    <n v="3"/>
    <n v="12"/>
    <n v="24"/>
    <n v="46"/>
    <n v="26"/>
    <n v="44"/>
    <n v="19"/>
    <n v="31"/>
    <n v="48"/>
    <n v="4"/>
    <n v="25"/>
    <n v="49"/>
    <n v="18"/>
    <n v="46"/>
    <n v="22"/>
    <n v="40"/>
    <n v="44"/>
    <n v="14"/>
    <n v="21"/>
    <n v="32"/>
    <n v="9"/>
    <n v="22"/>
    <n v="3"/>
    <n v="10"/>
    <n v="28"/>
    <n v="2"/>
    <n v="15"/>
    <n v="27"/>
    <n v="43"/>
    <n v="3"/>
    <n v="49"/>
    <n v="15"/>
    <n v="48"/>
    <n v="19"/>
    <n v="5"/>
    <n v="35"/>
    <n v="40"/>
    <n v="21"/>
    <n v="31"/>
    <n v="16"/>
    <n v="13"/>
    <n v="27"/>
    <n v="26"/>
    <n v="37"/>
    <n v="20"/>
    <n v="6"/>
    <n v="24"/>
    <n v="13"/>
    <n v="188147"/>
    <n v="7283"/>
  </r>
  <r>
    <d v="2024-10-17T00:00:00"/>
    <x v="9"/>
    <n v="10"/>
    <n v="1026"/>
    <n v="798"/>
    <n v="47"/>
    <n v="19"/>
    <n v="44"/>
    <n v="14"/>
    <n v="23"/>
    <n v="49"/>
    <n v="27"/>
    <n v="13"/>
    <n v="42"/>
    <n v="26"/>
    <n v="15"/>
    <n v="9"/>
    <n v="40"/>
    <n v="37"/>
    <n v="38"/>
    <n v="30"/>
    <n v="6"/>
    <n v="41"/>
    <n v="30"/>
    <n v="41"/>
    <n v="35"/>
    <n v="1"/>
    <n v="44"/>
    <n v="36"/>
    <n v="6"/>
    <n v="38"/>
    <n v="44"/>
    <n v="22"/>
    <n v="46"/>
    <n v="9"/>
    <n v="47"/>
    <n v="4"/>
    <n v="0"/>
    <n v="41"/>
    <n v="46"/>
    <n v="27"/>
    <n v="15"/>
    <n v="46"/>
    <n v="6"/>
    <n v="36"/>
    <n v="18"/>
    <n v="42"/>
    <n v="0"/>
    <n v="14"/>
    <n v="5"/>
    <n v="13"/>
    <n v="29"/>
    <n v="22"/>
    <n v="10"/>
    <n v="49"/>
    <n v="22"/>
    <n v="9"/>
    <n v="188698"/>
    <n v="7295"/>
  </r>
  <r>
    <d v="2024-10-18T00:00:00"/>
    <x v="9"/>
    <n v="10"/>
    <n v="1028"/>
    <n v="799"/>
    <n v="29"/>
    <n v="2"/>
    <n v="23"/>
    <n v="46"/>
    <n v="7"/>
    <n v="10"/>
    <n v="15"/>
    <n v="35"/>
    <n v="43"/>
    <n v="3"/>
    <n v="27"/>
    <n v="14"/>
    <n v="26"/>
    <n v="36"/>
    <n v="18"/>
    <n v="20"/>
    <n v="19"/>
    <n v="15"/>
    <n v="16"/>
    <n v="25"/>
    <n v="37"/>
    <n v="28"/>
    <n v="45"/>
    <n v="2"/>
    <n v="24"/>
    <n v="19"/>
    <n v="28"/>
    <n v="1"/>
    <n v="27"/>
    <n v="16"/>
    <n v="7"/>
    <n v="7"/>
    <n v="36"/>
    <n v="47"/>
    <n v="35"/>
    <n v="27"/>
    <n v="26"/>
    <n v="25"/>
    <n v="2"/>
    <n v="35"/>
    <n v="9"/>
    <n v="32"/>
    <n v="4"/>
    <n v="12"/>
    <n v="13"/>
    <n v="5"/>
    <n v="45"/>
    <n v="13"/>
    <n v="7"/>
    <n v="38"/>
    <n v="35"/>
    <n v="47"/>
    <n v="189249"/>
    <n v="7307"/>
  </r>
  <r>
    <d v="2024-10-19T00:00:00"/>
    <x v="9"/>
    <n v="10"/>
    <n v="1030"/>
    <n v="800"/>
    <n v="41"/>
    <n v="48"/>
    <n v="7"/>
    <n v="31"/>
    <n v="23"/>
    <n v="2"/>
    <n v="8"/>
    <n v="38"/>
    <n v="29"/>
    <n v="33"/>
    <n v="33"/>
    <n v="39"/>
    <n v="3"/>
    <n v="20"/>
    <n v="20"/>
    <n v="19"/>
    <n v="2"/>
    <n v="48"/>
    <n v="13"/>
    <n v="44"/>
    <n v="20"/>
    <n v="22"/>
    <n v="42"/>
    <n v="8"/>
    <n v="45"/>
    <n v="3"/>
    <n v="46"/>
    <n v="38"/>
    <n v="31"/>
    <n v="13"/>
    <n v="12"/>
    <n v="46"/>
    <n v="8"/>
    <n v="47"/>
    <n v="16"/>
    <n v="16"/>
    <n v="47"/>
    <n v="35"/>
    <n v="42"/>
    <n v="18"/>
    <n v="42"/>
    <n v="36"/>
    <n v="9"/>
    <n v="7"/>
    <n v="23"/>
    <n v="4"/>
    <n v="5"/>
    <n v="40"/>
    <n v="48"/>
    <n v="42"/>
    <n v="13"/>
    <n v="7"/>
    <n v="189800"/>
    <n v="7320"/>
  </r>
  <r>
    <d v="2024-10-20T00:00:00"/>
    <x v="9"/>
    <n v="10"/>
    <n v="1031"/>
    <n v="800"/>
    <n v="0"/>
    <n v="26"/>
    <n v="24"/>
    <n v="11"/>
    <n v="44"/>
    <n v="19"/>
    <n v="38"/>
    <n v="49"/>
    <n v="25"/>
    <n v="5"/>
    <n v="0"/>
    <n v="14"/>
    <n v="39"/>
    <n v="37"/>
    <n v="34"/>
    <n v="39"/>
    <n v="0"/>
    <n v="36"/>
    <n v="16"/>
    <n v="49"/>
    <n v="4"/>
    <n v="28"/>
    <n v="13"/>
    <n v="0"/>
    <n v="35"/>
    <n v="3"/>
    <n v="28"/>
    <n v="21"/>
    <n v="12"/>
    <n v="3"/>
    <n v="12"/>
    <n v="39"/>
    <n v="35"/>
    <n v="11"/>
    <n v="39"/>
    <n v="15"/>
    <n v="20"/>
    <n v="13"/>
    <n v="20"/>
    <n v="25"/>
    <n v="44"/>
    <n v="40"/>
    <n v="28"/>
    <n v="27"/>
    <n v="0"/>
    <n v="18"/>
    <n v="19"/>
    <n v="21"/>
    <n v="15"/>
    <n v="23"/>
    <n v="17"/>
    <n v="22"/>
    <n v="190350"/>
    <n v="7332"/>
  </r>
  <r>
    <d v="2024-10-21T00:00:00"/>
    <x v="9"/>
    <n v="10"/>
    <n v="1033"/>
    <n v="801"/>
    <n v="34"/>
    <n v="19"/>
    <n v="49"/>
    <n v="15"/>
    <n v="39"/>
    <n v="49"/>
    <n v="14"/>
    <n v="17"/>
    <n v="42"/>
    <n v="27"/>
    <n v="19"/>
    <n v="4"/>
    <n v="49"/>
    <n v="33"/>
    <n v="26"/>
    <n v="36"/>
    <n v="0"/>
    <n v="39"/>
    <n v="39"/>
    <n v="20"/>
    <n v="46"/>
    <n v="45"/>
    <n v="5"/>
    <n v="20"/>
    <n v="15"/>
    <n v="6"/>
    <n v="25"/>
    <n v="34"/>
    <n v="15"/>
    <n v="31"/>
    <n v="8"/>
    <n v="5"/>
    <n v="39"/>
    <n v="39"/>
    <n v="23"/>
    <n v="36"/>
    <n v="15"/>
    <n v="44"/>
    <n v="20"/>
    <n v="6"/>
    <n v="40"/>
    <n v="29"/>
    <n v="2"/>
    <n v="25"/>
    <n v="20"/>
    <n v="18"/>
    <n v="18"/>
    <n v="16"/>
    <n v="35"/>
    <n v="47"/>
    <n v="20"/>
    <n v="17"/>
    <n v="190901"/>
    <n v="7344"/>
  </r>
  <r>
    <d v="2024-10-22T00:00:00"/>
    <x v="9"/>
    <n v="10"/>
    <n v="1034"/>
    <n v="802"/>
    <n v="7"/>
    <n v="34"/>
    <n v="21"/>
    <n v="41"/>
    <n v="48"/>
    <n v="43"/>
    <n v="6"/>
    <n v="12"/>
    <n v="10"/>
    <n v="46"/>
    <n v="11"/>
    <n v="12"/>
    <n v="30"/>
    <n v="6"/>
    <n v="15"/>
    <n v="11"/>
    <n v="0"/>
    <n v="18"/>
    <n v="6"/>
    <n v="2"/>
    <n v="17"/>
    <n v="46"/>
    <n v="19"/>
    <n v="12"/>
    <n v="38"/>
    <n v="41"/>
    <n v="1"/>
    <n v="0"/>
    <n v="17"/>
    <n v="15"/>
    <n v="43"/>
    <n v="23"/>
    <n v="39"/>
    <n v="4"/>
    <n v="1"/>
    <n v="45"/>
    <n v="41"/>
    <n v="26"/>
    <n v="42"/>
    <n v="6"/>
    <n v="43"/>
    <n v="18"/>
    <n v="16"/>
    <n v="9"/>
    <n v="2"/>
    <n v="26"/>
    <n v="2"/>
    <n v="23"/>
    <n v="42"/>
    <n v="40"/>
    <n v="28"/>
    <n v="35"/>
    <n v="191452"/>
    <n v="7356"/>
  </r>
  <r>
    <d v="2024-10-23T00:00:00"/>
    <x v="9"/>
    <n v="10"/>
    <n v="1036"/>
    <n v="802"/>
    <n v="45"/>
    <n v="38"/>
    <n v="49"/>
    <n v="45"/>
    <n v="26"/>
    <n v="41"/>
    <n v="30"/>
    <n v="40"/>
    <n v="41"/>
    <n v="49"/>
    <n v="27"/>
    <n v="21"/>
    <n v="39"/>
    <n v="22"/>
    <n v="27"/>
    <n v="13"/>
    <n v="11"/>
    <n v="42"/>
    <n v="24"/>
    <n v="23"/>
    <n v="4"/>
    <n v="24"/>
    <n v="41"/>
    <n v="14"/>
    <n v="3"/>
    <n v="42"/>
    <n v="17"/>
    <n v="16"/>
    <n v="27"/>
    <n v="27"/>
    <n v="26"/>
    <n v="21"/>
    <n v="23"/>
    <n v="0"/>
    <n v="39"/>
    <n v="12"/>
    <n v="6"/>
    <n v="22"/>
    <n v="37"/>
    <n v="46"/>
    <n v="5"/>
    <n v="35"/>
    <n v="37"/>
    <n v="5"/>
    <n v="46"/>
    <n v="31"/>
    <n v="15"/>
    <n v="6"/>
    <n v="7"/>
    <n v="45"/>
    <n v="16"/>
    <n v="45"/>
    <n v="192002"/>
    <n v="7368"/>
  </r>
  <r>
    <d v="2024-10-24T00:00:00"/>
    <x v="9"/>
    <n v="10"/>
    <n v="1038"/>
    <n v="803"/>
    <n v="5"/>
    <n v="3"/>
    <n v="36"/>
    <n v="7"/>
    <n v="23"/>
    <n v="16"/>
    <n v="40"/>
    <n v="34"/>
    <n v="22"/>
    <n v="48"/>
    <n v="15"/>
    <n v="7"/>
    <n v="8"/>
    <n v="33"/>
    <n v="17"/>
    <n v="28"/>
    <n v="12"/>
    <n v="15"/>
    <n v="14"/>
    <n v="32"/>
    <n v="47"/>
    <n v="37"/>
    <n v="34"/>
    <n v="27"/>
    <n v="26"/>
    <n v="6"/>
    <n v="29"/>
    <n v="46"/>
    <n v="33"/>
    <n v="20"/>
    <n v="26"/>
    <n v="48"/>
    <n v="32"/>
    <n v="47"/>
    <n v="46"/>
    <n v="9"/>
    <n v="29"/>
    <n v="2"/>
    <n v="43"/>
    <n v="0"/>
    <n v="3"/>
    <n v="47"/>
    <n v="4"/>
    <n v="30"/>
    <n v="30"/>
    <n v="22"/>
    <n v="39"/>
    <n v="41"/>
    <n v="35"/>
    <n v="21"/>
    <n v="18"/>
    <n v="21"/>
    <n v="192553"/>
    <n v="7380"/>
  </r>
  <r>
    <d v="2024-10-25T00:00:00"/>
    <x v="9"/>
    <n v="10"/>
    <n v="1039"/>
    <n v="804"/>
    <n v="20"/>
    <n v="27"/>
    <n v="38"/>
    <n v="48"/>
    <n v="16"/>
    <n v="30"/>
    <n v="43"/>
    <n v="6"/>
    <n v="44"/>
    <n v="44"/>
    <n v="12"/>
    <n v="41"/>
    <n v="42"/>
    <n v="47"/>
    <n v="27"/>
    <n v="16"/>
    <n v="49"/>
    <n v="33"/>
    <n v="10"/>
    <n v="32"/>
    <n v="21"/>
    <n v="8"/>
    <n v="27"/>
    <n v="8"/>
    <n v="10"/>
    <n v="9"/>
    <n v="37"/>
    <n v="29"/>
    <n v="41"/>
    <n v="38"/>
    <n v="14"/>
    <n v="33"/>
    <n v="5"/>
    <n v="30"/>
    <n v="40"/>
    <n v="6"/>
    <n v="46"/>
    <n v="13"/>
    <n v="28"/>
    <n v="3"/>
    <n v="27"/>
    <n v="12"/>
    <n v="16"/>
    <n v="45"/>
    <n v="20"/>
    <n v="28"/>
    <n v="9"/>
    <n v="14"/>
    <n v="33"/>
    <n v="32"/>
    <n v="38"/>
    <n v="42"/>
    <n v="193104"/>
    <n v="7392"/>
  </r>
  <r>
    <d v="2024-10-26T00:00:00"/>
    <x v="9"/>
    <n v="10"/>
    <n v="1041"/>
    <n v="804"/>
    <n v="43"/>
    <n v="15"/>
    <n v="17"/>
    <n v="32"/>
    <n v="44"/>
    <n v="41"/>
    <n v="23"/>
    <n v="15"/>
    <n v="36"/>
    <n v="33"/>
    <n v="23"/>
    <n v="14"/>
    <n v="47"/>
    <n v="42"/>
    <n v="1"/>
    <n v="12"/>
    <n v="35"/>
    <n v="25"/>
    <n v="36"/>
    <n v="3"/>
    <n v="27"/>
    <n v="17"/>
    <n v="31"/>
    <n v="25"/>
    <n v="24"/>
    <n v="14"/>
    <n v="24"/>
    <n v="34"/>
    <n v="24"/>
    <n v="2"/>
    <n v="48"/>
    <n v="31"/>
    <n v="23"/>
    <n v="19"/>
    <n v="11"/>
    <n v="18"/>
    <n v="7"/>
    <n v="1"/>
    <n v="32"/>
    <n v="17"/>
    <n v="38"/>
    <n v="44"/>
    <n v="16"/>
    <n v="49"/>
    <n v="23"/>
    <n v="12"/>
    <n v="31"/>
    <n v="17"/>
    <n v="27"/>
    <n v="43"/>
    <n v="49"/>
    <n v="24"/>
    <n v="193654"/>
    <n v="7404"/>
  </r>
  <r>
    <d v="2024-10-27T00:00:00"/>
    <x v="9"/>
    <n v="10"/>
    <n v="1043"/>
    <n v="805"/>
    <n v="18"/>
    <n v="46"/>
    <n v="2"/>
    <n v="33"/>
    <n v="37"/>
    <n v="1"/>
    <n v="1"/>
    <n v="38"/>
    <n v="12"/>
    <n v="9"/>
    <n v="29"/>
    <n v="6"/>
    <n v="33"/>
    <n v="36"/>
    <n v="11"/>
    <n v="6"/>
    <n v="43"/>
    <n v="11"/>
    <n v="36"/>
    <n v="11"/>
    <n v="36"/>
    <n v="41"/>
    <n v="14"/>
    <n v="6"/>
    <n v="39"/>
    <n v="36"/>
    <n v="48"/>
    <n v="1"/>
    <n v="14"/>
    <n v="1"/>
    <n v="15"/>
    <n v="45"/>
    <n v="14"/>
    <n v="47"/>
    <n v="43"/>
    <n v="21"/>
    <n v="48"/>
    <n v="15"/>
    <n v="6"/>
    <n v="6"/>
    <n v="23"/>
    <n v="9"/>
    <n v="24"/>
    <n v="32"/>
    <n v="32"/>
    <n v="41"/>
    <n v="48"/>
    <n v="15"/>
    <n v="34"/>
    <n v="26"/>
    <n v="10"/>
    <n v="27"/>
    <n v="194205"/>
    <n v="7416"/>
  </r>
  <r>
    <d v="2024-10-28T00:00:00"/>
    <x v="9"/>
    <n v="10"/>
    <n v="1044"/>
    <n v="806"/>
    <n v="16"/>
    <n v="3"/>
    <n v="5"/>
    <n v="28"/>
    <n v="8"/>
    <n v="24"/>
    <n v="11"/>
    <n v="25"/>
    <n v="27"/>
    <n v="17"/>
    <n v="48"/>
    <n v="46"/>
    <n v="36"/>
    <n v="6"/>
    <n v="8"/>
    <n v="15"/>
    <n v="13"/>
    <n v="48"/>
    <n v="17"/>
    <n v="36"/>
    <n v="16"/>
    <n v="45"/>
    <n v="26"/>
    <n v="10"/>
    <n v="41"/>
    <n v="33"/>
    <n v="49"/>
    <n v="26"/>
    <n v="8"/>
    <n v="45"/>
    <n v="6"/>
    <n v="41"/>
    <n v="9"/>
    <n v="31"/>
    <n v="12"/>
    <n v="44"/>
    <n v="5"/>
    <n v="24"/>
    <n v="2"/>
    <n v="37"/>
    <n v="35"/>
    <n v="44"/>
    <n v="18"/>
    <n v="2"/>
    <n v="42"/>
    <n v="11"/>
    <n v="45"/>
    <n v="30"/>
    <n v="8"/>
    <n v="8"/>
    <n v="48"/>
    <n v="32"/>
    <n v="194756"/>
    <n v="7428"/>
  </r>
  <r>
    <d v="2024-10-29T00:00:00"/>
    <x v="9"/>
    <n v="10"/>
    <n v="1046"/>
    <n v="806"/>
    <n v="48"/>
    <n v="2"/>
    <n v="3"/>
    <n v="39"/>
    <n v="39"/>
    <n v="20"/>
    <n v="8"/>
    <n v="49"/>
    <n v="45"/>
    <n v="34"/>
    <n v="34"/>
    <n v="6"/>
    <n v="22"/>
    <n v="28"/>
    <n v="14"/>
    <n v="41"/>
    <n v="5"/>
    <n v="24"/>
    <n v="11"/>
    <n v="13"/>
    <n v="35"/>
    <n v="6"/>
    <n v="33"/>
    <n v="23"/>
    <n v="32"/>
    <n v="45"/>
    <n v="20"/>
    <n v="38"/>
    <n v="39"/>
    <n v="22"/>
    <n v="31"/>
    <n v="2"/>
    <n v="4"/>
    <n v="30"/>
    <n v="8"/>
    <n v="41"/>
    <n v="42"/>
    <n v="4"/>
    <n v="32"/>
    <n v="33"/>
    <n v="30"/>
    <n v="22"/>
    <n v="19"/>
    <n v="49"/>
    <n v="2"/>
    <n v="27"/>
    <n v="19"/>
    <n v="35"/>
    <n v="11"/>
    <n v="49"/>
    <n v="7"/>
    <n v="40"/>
    <n v="195306"/>
    <n v="7440"/>
  </r>
  <r>
    <d v="2024-10-30T00:00:00"/>
    <x v="9"/>
    <n v="10"/>
    <n v="1048"/>
    <n v="807"/>
    <n v="13"/>
    <n v="3"/>
    <n v="41"/>
    <n v="19"/>
    <n v="37"/>
    <n v="23"/>
    <n v="36"/>
    <n v="37"/>
    <n v="23"/>
    <n v="18"/>
    <n v="29"/>
    <n v="42"/>
    <n v="27"/>
    <n v="10"/>
    <n v="35"/>
    <n v="21"/>
    <n v="30"/>
    <n v="22"/>
    <n v="16"/>
    <n v="41"/>
    <n v="16"/>
    <n v="4"/>
    <n v="27"/>
    <n v="38"/>
    <n v="9"/>
    <n v="25"/>
    <n v="22"/>
    <n v="44"/>
    <n v="1"/>
    <n v="49"/>
    <n v="35"/>
    <n v="49"/>
    <n v="8"/>
    <n v="24"/>
    <n v="45"/>
    <n v="43"/>
    <n v="9"/>
    <n v="2"/>
    <n v="48"/>
    <n v="20"/>
    <n v="28"/>
    <n v="47"/>
    <n v="17"/>
    <n v="5"/>
    <n v="40"/>
    <n v="41"/>
    <n v="7"/>
    <n v="42"/>
    <n v="47"/>
    <n v="17"/>
    <n v="46"/>
    <n v="35"/>
    <n v="195857"/>
    <n v="7452"/>
  </r>
  <r>
    <d v="2024-10-31T00:00:00"/>
    <x v="9"/>
    <n v="10"/>
    <n v="1049"/>
    <n v="808"/>
    <n v="28"/>
    <n v="30"/>
    <n v="13"/>
    <n v="3"/>
    <n v="43"/>
    <n v="2"/>
    <n v="7"/>
    <n v="41"/>
    <n v="46"/>
    <n v="32"/>
    <n v="33"/>
    <n v="27"/>
    <n v="2"/>
    <n v="4"/>
    <n v="25"/>
    <n v="23"/>
    <n v="49"/>
    <n v="40"/>
    <n v="33"/>
    <n v="29"/>
    <n v="18"/>
    <n v="10"/>
    <n v="3"/>
    <n v="41"/>
    <n v="46"/>
    <n v="3"/>
    <n v="32"/>
    <n v="36"/>
    <n v="33"/>
    <n v="46"/>
    <n v="30"/>
    <n v="41"/>
    <n v="13"/>
    <n v="48"/>
    <n v="28"/>
    <n v="30"/>
    <n v="3"/>
    <n v="23"/>
    <n v="32"/>
    <n v="15"/>
    <n v="3"/>
    <n v="20"/>
    <n v="31"/>
    <n v="23"/>
    <n v="29"/>
    <n v="27"/>
    <n v="20"/>
    <n v="31"/>
    <n v="33"/>
    <n v="6"/>
    <n v="33"/>
    <n v="23"/>
    <n v="196408"/>
    <n v="7464"/>
  </r>
  <r>
    <d v="2024-11-01T00:00:00"/>
    <x v="10"/>
    <n v="11"/>
    <n v="1051"/>
    <n v="808"/>
    <n v="15"/>
    <n v="0"/>
    <n v="12"/>
    <n v="28"/>
    <n v="43"/>
    <n v="18"/>
    <n v="39"/>
    <n v="39"/>
    <n v="15"/>
    <n v="19"/>
    <n v="30"/>
    <n v="47"/>
    <n v="7"/>
    <n v="7"/>
    <n v="2"/>
    <n v="49"/>
    <n v="31"/>
    <n v="5"/>
    <n v="34"/>
    <n v="12"/>
    <n v="37"/>
    <n v="35"/>
    <n v="37"/>
    <n v="29"/>
    <n v="20"/>
    <n v="35"/>
    <n v="8"/>
    <n v="31"/>
    <n v="35"/>
    <n v="7"/>
    <n v="9"/>
    <n v="41"/>
    <n v="12"/>
    <n v="39"/>
    <n v="22"/>
    <n v="0"/>
    <n v="47"/>
    <n v="41"/>
    <n v="21"/>
    <n v="12"/>
    <n v="9"/>
    <n v="42"/>
    <n v="14"/>
    <n v="19"/>
    <n v="39"/>
    <n v="48"/>
    <n v="11"/>
    <n v="45"/>
    <n v="42"/>
    <n v="40"/>
    <n v="46"/>
    <n v="39"/>
    <n v="196958"/>
    <n v="7476"/>
  </r>
  <r>
    <d v="2024-11-02T00:00:00"/>
    <x v="10"/>
    <n v="11"/>
    <n v="1053"/>
    <n v="809"/>
    <n v="26"/>
    <n v="45"/>
    <n v="18"/>
    <n v="46"/>
    <n v="16"/>
    <n v="28"/>
    <n v="49"/>
    <n v="28"/>
    <n v="44"/>
    <n v="4"/>
    <n v="29"/>
    <n v="11"/>
    <n v="9"/>
    <n v="16"/>
    <n v="22"/>
    <n v="49"/>
    <n v="8"/>
    <n v="43"/>
    <n v="7"/>
    <n v="22"/>
    <n v="28"/>
    <n v="46"/>
    <n v="41"/>
    <n v="34"/>
    <n v="12"/>
    <n v="43"/>
    <n v="39"/>
    <n v="1"/>
    <n v="26"/>
    <n v="37"/>
    <n v="25"/>
    <n v="20"/>
    <n v="2"/>
    <n v="28"/>
    <n v="15"/>
    <n v="40"/>
    <n v="22"/>
    <n v="12"/>
    <n v="15"/>
    <n v="44"/>
    <n v="19"/>
    <n v="2"/>
    <n v="19"/>
    <n v="2"/>
    <n v="41"/>
    <n v="9"/>
    <n v="15"/>
    <n v="16"/>
    <n v="13"/>
    <n v="0"/>
    <n v="29"/>
    <n v="12"/>
    <n v="197509"/>
    <n v="7488"/>
  </r>
  <r>
    <d v="2024-11-03T00:00:00"/>
    <x v="10"/>
    <n v="11"/>
    <n v="1054"/>
    <n v="810"/>
    <n v="3"/>
    <n v="8"/>
    <n v="9"/>
    <n v="20"/>
    <n v="2"/>
    <n v="17"/>
    <n v="25"/>
    <n v="30"/>
    <n v="3"/>
    <n v="43"/>
    <n v="39"/>
    <n v="1"/>
    <n v="6"/>
    <n v="9"/>
    <n v="4"/>
    <n v="33"/>
    <n v="2"/>
    <n v="45"/>
    <n v="1"/>
    <n v="35"/>
    <n v="3"/>
    <n v="16"/>
    <n v="41"/>
    <n v="31"/>
    <n v="21"/>
    <n v="1"/>
    <n v="16"/>
    <n v="31"/>
    <n v="31"/>
    <n v="46"/>
    <n v="27"/>
    <n v="21"/>
    <n v="19"/>
    <n v="18"/>
    <n v="31"/>
    <n v="16"/>
    <n v="9"/>
    <n v="33"/>
    <n v="0"/>
    <n v="37"/>
    <n v="43"/>
    <n v="4"/>
    <n v="46"/>
    <n v="29"/>
    <n v="43"/>
    <n v="6"/>
    <n v="5"/>
    <n v="22"/>
    <n v="37"/>
    <n v="5"/>
    <n v="12"/>
    <n v="10"/>
    <n v="198060"/>
    <n v="7500"/>
  </r>
  <r>
    <d v="2024-11-04T00:00:00"/>
    <x v="10"/>
    <n v="11"/>
    <n v="1056"/>
    <n v="810"/>
    <n v="23"/>
    <n v="37"/>
    <n v="24"/>
    <n v="30"/>
    <n v="47"/>
    <n v="42"/>
    <n v="23"/>
    <n v="2"/>
    <n v="32"/>
    <n v="8"/>
    <n v="25"/>
    <n v="0"/>
    <n v="45"/>
    <n v="26"/>
    <n v="1"/>
    <n v="12"/>
    <n v="15"/>
    <n v="2"/>
    <n v="31"/>
    <n v="39"/>
    <n v="17"/>
    <n v="48"/>
    <n v="20"/>
    <n v="21"/>
    <n v="25"/>
    <n v="16"/>
    <n v="30"/>
    <n v="31"/>
    <n v="6"/>
    <n v="9"/>
    <n v="49"/>
    <n v="10"/>
    <n v="49"/>
    <n v="9"/>
    <n v="18"/>
    <n v="0"/>
    <n v="11"/>
    <n v="32"/>
    <n v="27"/>
    <n v="14"/>
    <n v="44"/>
    <n v="49"/>
    <n v="30"/>
    <n v="10"/>
    <n v="35"/>
    <n v="24"/>
    <n v="8"/>
    <n v="24"/>
    <n v="33"/>
    <n v="38"/>
    <n v="13"/>
    <n v="36"/>
    <n v="198610"/>
    <n v="7512"/>
  </r>
  <r>
    <d v="2024-11-05T00:00:00"/>
    <x v="10"/>
    <n v="11"/>
    <n v="1057"/>
    <n v="811"/>
    <n v="45"/>
    <n v="44"/>
    <n v="44"/>
    <n v="42"/>
    <n v="28"/>
    <n v="47"/>
    <n v="5"/>
    <n v="45"/>
    <n v="11"/>
    <n v="18"/>
    <n v="6"/>
    <n v="14"/>
    <n v="23"/>
    <n v="32"/>
    <n v="29"/>
    <n v="48"/>
    <n v="37"/>
    <n v="22"/>
    <n v="20"/>
    <n v="8"/>
    <n v="18"/>
    <n v="33"/>
    <n v="44"/>
    <n v="35"/>
    <n v="8"/>
    <n v="22"/>
    <n v="42"/>
    <n v="17"/>
    <n v="23"/>
    <n v="30"/>
    <n v="8"/>
    <n v="14"/>
    <n v="37"/>
    <n v="1"/>
    <n v="38"/>
    <n v="29"/>
    <n v="14"/>
    <n v="30"/>
    <n v="43"/>
    <n v="26"/>
    <n v="43"/>
    <n v="29"/>
    <n v="14"/>
    <n v="11"/>
    <n v="32"/>
    <n v="12"/>
    <n v="8"/>
    <n v="39"/>
    <n v="27"/>
    <n v="6"/>
    <n v="24"/>
    <n v="48"/>
    <n v="199161"/>
    <n v="7524"/>
  </r>
  <r>
    <d v="2024-11-06T00:00:00"/>
    <x v="10"/>
    <n v="11"/>
    <n v="1059"/>
    <n v="812"/>
    <n v="45"/>
    <n v="16"/>
    <n v="33"/>
    <n v="6"/>
    <n v="8"/>
    <n v="37"/>
    <n v="38"/>
    <n v="23"/>
    <n v="18"/>
    <n v="35"/>
    <n v="16"/>
    <n v="6"/>
    <n v="2"/>
    <n v="0"/>
    <n v="4"/>
    <n v="38"/>
    <n v="22"/>
    <n v="31"/>
    <n v="32"/>
    <n v="5"/>
    <n v="6"/>
    <n v="29"/>
    <n v="5"/>
    <n v="47"/>
    <n v="30"/>
    <n v="5"/>
    <n v="3"/>
    <n v="0"/>
    <n v="27"/>
    <n v="5"/>
    <n v="6"/>
    <n v="34"/>
    <n v="46"/>
    <n v="42"/>
    <n v="32"/>
    <n v="4"/>
    <n v="12"/>
    <n v="3"/>
    <n v="8"/>
    <n v="37"/>
    <n v="26"/>
    <n v="22"/>
    <n v="29"/>
    <n v="41"/>
    <n v="32"/>
    <n v="30"/>
    <n v="33"/>
    <n v="44"/>
    <n v="24"/>
    <n v="10"/>
    <n v="36"/>
    <n v="28"/>
    <n v="199712"/>
    <n v="7536"/>
  </r>
  <r>
    <d v="2024-11-07T00:00:00"/>
    <x v="10"/>
    <n v="11"/>
    <n v="1061"/>
    <n v="813"/>
    <n v="6"/>
    <n v="7"/>
    <n v="46"/>
    <n v="44"/>
    <n v="33"/>
    <n v="37"/>
    <n v="14"/>
    <n v="42"/>
    <n v="16"/>
    <n v="20"/>
    <n v="3"/>
    <n v="0"/>
    <n v="44"/>
    <n v="41"/>
    <n v="40"/>
    <n v="49"/>
    <n v="3"/>
    <n v="13"/>
    <n v="15"/>
    <n v="27"/>
    <n v="6"/>
    <n v="21"/>
    <n v="33"/>
    <n v="35"/>
    <n v="9"/>
    <n v="47"/>
    <n v="30"/>
    <n v="5"/>
    <n v="17"/>
    <n v="12"/>
    <n v="11"/>
    <n v="3"/>
    <n v="44"/>
    <n v="23"/>
    <n v="15"/>
    <n v="39"/>
    <n v="49"/>
    <n v="34"/>
    <n v="3"/>
    <n v="47"/>
    <n v="42"/>
    <n v="28"/>
    <n v="15"/>
    <n v="38"/>
    <n v="14"/>
    <n v="7"/>
    <n v="31"/>
    <n v="21"/>
    <n v="39"/>
    <n v="32"/>
    <n v="40"/>
    <n v="14"/>
    <n v="200263"/>
    <n v="7549"/>
  </r>
  <r>
    <d v="2024-11-08T00:00:00"/>
    <x v="10"/>
    <n v="11"/>
    <n v="1062"/>
    <n v="813"/>
    <n v="27"/>
    <n v="45"/>
    <n v="23"/>
    <n v="23"/>
    <n v="6"/>
    <n v="3"/>
    <n v="10"/>
    <n v="49"/>
    <n v="28"/>
    <n v="47"/>
    <n v="5"/>
    <n v="46"/>
    <n v="17"/>
    <n v="36"/>
    <n v="13"/>
    <n v="36"/>
    <n v="10"/>
    <n v="43"/>
    <n v="39"/>
    <n v="21"/>
    <n v="47"/>
    <n v="30"/>
    <n v="0"/>
    <n v="8"/>
    <n v="43"/>
    <n v="38"/>
    <n v="5"/>
    <n v="35"/>
    <n v="43"/>
    <n v="48"/>
    <n v="31"/>
    <n v="0"/>
    <n v="26"/>
    <n v="10"/>
    <n v="4"/>
    <n v="25"/>
    <n v="1"/>
    <n v="47"/>
    <n v="10"/>
    <n v="37"/>
    <n v="30"/>
    <n v="10"/>
    <n v="36"/>
    <n v="33"/>
    <n v="6"/>
    <n v="0"/>
    <n v="31"/>
    <n v="39"/>
    <n v="37"/>
    <n v="33"/>
    <n v="15"/>
    <n v="1"/>
    <n v="200813"/>
    <n v="7561"/>
  </r>
  <r>
    <d v="2024-11-09T00:00:00"/>
    <x v="10"/>
    <n v="11"/>
    <n v="1064"/>
    <n v="814"/>
    <n v="2"/>
    <n v="32"/>
    <n v="32"/>
    <n v="25"/>
    <n v="43"/>
    <n v="4"/>
    <n v="4"/>
    <n v="5"/>
    <n v="34"/>
    <n v="11"/>
    <n v="42"/>
    <n v="13"/>
    <n v="31"/>
    <n v="33"/>
    <n v="27"/>
    <n v="1"/>
    <n v="12"/>
    <n v="20"/>
    <n v="22"/>
    <n v="4"/>
    <n v="27"/>
    <n v="40"/>
    <n v="20"/>
    <n v="2"/>
    <n v="12"/>
    <n v="21"/>
    <n v="3"/>
    <n v="16"/>
    <n v="4"/>
    <n v="1"/>
    <n v="27"/>
    <n v="42"/>
    <n v="46"/>
    <n v="49"/>
    <n v="4"/>
    <n v="26"/>
    <n v="34"/>
    <n v="3"/>
    <n v="42"/>
    <n v="26"/>
    <n v="41"/>
    <n v="47"/>
    <n v="30"/>
    <n v="35"/>
    <n v="3"/>
    <n v="1"/>
    <n v="48"/>
    <n v="44"/>
    <n v="1"/>
    <n v="1"/>
    <n v="9"/>
    <n v="29"/>
    <n v="201364"/>
    <n v="7573"/>
  </r>
  <r>
    <d v="2024-11-10T00:00:00"/>
    <x v="10"/>
    <n v="11"/>
    <n v="1066"/>
    <n v="815"/>
    <n v="48"/>
    <n v="27"/>
    <n v="43"/>
    <n v="8"/>
    <n v="4"/>
    <n v="45"/>
    <n v="37"/>
    <n v="4"/>
    <n v="47"/>
    <n v="39"/>
    <n v="38"/>
    <n v="15"/>
    <n v="37"/>
    <n v="25"/>
    <n v="2"/>
    <n v="19"/>
    <n v="31"/>
    <n v="45"/>
    <n v="42"/>
    <n v="30"/>
    <n v="46"/>
    <n v="24"/>
    <n v="46"/>
    <n v="41"/>
    <n v="34"/>
    <n v="42"/>
    <n v="29"/>
    <n v="47"/>
    <n v="41"/>
    <n v="43"/>
    <n v="14"/>
    <n v="24"/>
    <n v="38"/>
    <n v="39"/>
    <n v="0"/>
    <n v="26"/>
    <n v="2"/>
    <n v="26"/>
    <n v="36"/>
    <n v="47"/>
    <n v="32"/>
    <n v="36"/>
    <n v="13"/>
    <n v="22"/>
    <n v="28"/>
    <n v="30"/>
    <n v="46"/>
    <n v="11"/>
    <n v="40"/>
    <n v="46"/>
    <n v="37"/>
    <n v="35"/>
    <n v="201915"/>
    <n v="7585"/>
  </r>
  <r>
    <d v="2024-11-11T00:00:00"/>
    <x v="10"/>
    <n v="11"/>
    <n v="1067"/>
    <n v="815"/>
    <n v="35"/>
    <n v="7"/>
    <n v="29"/>
    <n v="43"/>
    <n v="36"/>
    <n v="36"/>
    <n v="47"/>
    <n v="25"/>
    <n v="49"/>
    <n v="8"/>
    <n v="38"/>
    <n v="11"/>
    <n v="26"/>
    <n v="34"/>
    <n v="43"/>
    <n v="42"/>
    <n v="28"/>
    <n v="8"/>
    <n v="3"/>
    <n v="16"/>
    <n v="2"/>
    <n v="39"/>
    <n v="38"/>
    <n v="24"/>
    <n v="0"/>
    <n v="16"/>
    <n v="22"/>
    <n v="3"/>
    <n v="47"/>
    <n v="6"/>
    <n v="7"/>
    <n v="48"/>
    <n v="45"/>
    <n v="30"/>
    <n v="47"/>
    <n v="30"/>
    <n v="48"/>
    <n v="41"/>
    <n v="4"/>
    <n v="31"/>
    <n v="29"/>
    <n v="35"/>
    <n v="45"/>
    <n v="1"/>
    <n v="13"/>
    <n v="0"/>
    <n v="35"/>
    <n v="22"/>
    <n v="39"/>
    <n v="49"/>
    <n v="26"/>
    <n v="5"/>
    <n v="202465"/>
    <n v="7597"/>
  </r>
  <r>
    <d v="2024-11-12T00:00:00"/>
    <x v="10"/>
    <n v="11"/>
    <n v="1069"/>
    <n v="816"/>
    <n v="8"/>
    <n v="9"/>
    <n v="11"/>
    <n v="16"/>
    <n v="28"/>
    <n v="8"/>
    <n v="6"/>
    <n v="46"/>
    <n v="38"/>
    <n v="15"/>
    <n v="12"/>
    <n v="21"/>
    <n v="10"/>
    <n v="24"/>
    <n v="19"/>
    <n v="19"/>
    <n v="40"/>
    <n v="36"/>
    <n v="10"/>
    <n v="29"/>
    <n v="47"/>
    <n v="6"/>
    <n v="49"/>
    <n v="34"/>
    <n v="19"/>
    <n v="2"/>
    <n v="9"/>
    <n v="38"/>
    <n v="24"/>
    <n v="7"/>
    <n v="8"/>
    <n v="37"/>
    <n v="21"/>
    <n v="20"/>
    <n v="21"/>
    <n v="34"/>
    <n v="11"/>
    <n v="41"/>
    <n v="26"/>
    <n v="49"/>
    <n v="36"/>
    <n v="31"/>
    <n v="8"/>
    <n v="22"/>
    <n v="1"/>
    <n v="13"/>
    <n v="7"/>
    <n v="13"/>
    <n v="23"/>
    <n v="11"/>
    <n v="0"/>
    <n v="10"/>
    <n v="203016"/>
    <n v="7609"/>
  </r>
  <r>
    <d v="2024-11-13T00:00:00"/>
    <x v="10"/>
    <n v="11"/>
    <n v="1071"/>
    <n v="817"/>
    <n v="40"/>
    <n v="14"/>
    <n v="41"/>
    <n v="15"/>
    <n v="18"/>
    <n v="18"/>
    <n v="25"/>
    <n v="11"/>
    <n v="43"/>
    <n v="14"/>
    <n v="12"/>
    <n v="19"/>
    <n v="7"/>
    <n v="25"/>
    <n v="18"/>
    <n v="11"/>
    <n v="24"/>
    <n v="22"/>
    <n v="9"/>
    <n v="0"/>
    <n v="47"/>
    <n v="22"/>
    <n v="12"/>
    <n v="22"/>
    <n v="11"/>
    <n v="26"/>
    <n v="9"/>
    <n v="12"/>
    <n v="18"/>
    <n v="28"/>
    <n v="40"/>
    <n v="18"/>
    <n v="0"/>
    <n v="15"/>
    <n v="32"/>
    <n v="22"/>
    <n v="24"/>
    <n v="13"/>
    <n v="45"/>
    <n v="16"/>
    <n v="45"/>
    <n v="9"/>
    <n v="25"/>
    <n v="15"/>
    <n v="22"/>
    <n v="10"/>
    <n v="2"/>
    <n v="49"/>
    <n v="40"/>
    <n v="25"/>
    <n v="3"/>
    <n v="41"/>
    <n v="203567"/>
    <n v="7621"/>
  </r>
  <r>
    <d v="2024-11-14T00:00:00"/>
    <x v="10"/>
    <n v="11"/>
    <n v="1072"/>
    <n v="817"/>
    <n v="12"/>
    <n v="46"/>
    <n v="10"/>
    <n v="30"/>
    <n v="29"/>
    <n v="45"/>
    <n v="35"/>
    <n v="7"/>
    <n v="28"/>
    <n v="36"/>
    <n v="37"/>
    <n v="39"/>
    <n v="24"/>
    <n v="40"/>
    <n v="34"/>
    <n v="38"/>
    <n v="9"/>
    <n v="22"/>
    <n v="13"/>
    <n v="25"/>
    <n v="18"/>
    <n v="34"/>
    <n v="10"/>
    <n v="25"/>
    <n v="6"/>
    <n v="15"/>
    <n v="47"/>
    <n v="16"/>
    <n v="21"/>
    <n v="7"/>
    <n v="48"/>
    <n v="33"/>
    <n v="38"/>
    <n v="19"/>
    <n v="31"/>
    <n v="38"/>
    <n v="25"/>
    <n v="17"/>
    <n v="44"/>
    <n v="26"/>
    <n v="31"/>
    <n v="28"/>
    <n v="12"/>
    <n v="34"/>
    <n v="43"/>
    <n v="16"/>
    <n v="14"/>
    <n v="1"/>
    <n v="33"/>
    <n v="14"/>
    <n v="5"/>
    <n v="2"/>
    <n v="204117"/>
    <n v="7633"/>
  </r>
  <r>
    <d v="2024-11-15T00:00:00"/>
    <x v="10"/>
    <n v="11"/>
    <n v="1074"/>
    <n v="818"/>
    <n v="42"/>
    <n v="11"/>
    <n v="49"/>
    <n v="27"/>
    <n v="39"/>
    <n v="6"/>
    <n v="4"/>
    <n v="1"/>
    <n v="21"/>
    <n v="30"/>
    <n v="19"/>
    <n v="38"/>
    <n v="46"/>
    <n v="7"/>
    <n v="15"/>
    <n v="46"/>
    <n v="10"/>
    <n v="22"/>
    <n v="19"/>
    <n v="11"/>
    <n v="0"/>
    <n v="20"/>
    <n v="6"/>
    <n v="9"/>
    <n v="14"/>
    <n v="42"/>
    <n v="33"/>
    <n v="32"/>
    <n v="44"/>
    <n v="2"/>
    <n v="28"/>
    <n v="41"/>
    <n v="27"/>
    <n v="4"/>
    <n v="49"/>
    <n v="12"/>
    <n v="45"/>
    <n v="48"/>
    <n v="7"/>
    <n v="12"/>
    <n v="23"/>
    <n v="43"/>
    <n v="35"/>
    <n v="41"/>
    <n v="20"/>
    <n v="43"/>
    <n v="19"/>
    <n v="5"/>
    <n v="20"/>
    <n v="48"/>
    <n v="12"/>
    <n v="19"/>
    <n v="204668"/>
    <n v="7645"/>
  </r>
  <r>
    <d v="2024-11-16T00:00:00"/>
    <x v="10"/>
    <n v="11"/>
    <n v="1076"/>
    <n v="819"/>
    <n v="41"/>
    <n v="7"/>
    <n v="29"/>
    <n v="21"/>
    <n v="12"/>
    <n v="4"/>
    <n v="46"/>
    <n v="1"/>
    <n v="19"/>
    <n v="39"/>
    <n v="31"/>
    <n v="29"/>
    <n v="6"/>
    <n v="8"/>
    <n v="24"/>
    <n v="34"/>
    <n v="10"/>
    <n v="0"/>
    <n v="47"/>
    <n v="34"/>
    <n v="45"/>
    <n v="8"/>
    <n v="36"/>
    <n v="47"/>
    <n v="6"/>
    <n v="38"/>
    <n v="41"/>
    <n v="28"/>
    <n v="48"/>
    <n v="2"/>
    <n v="2"/>
    <n v="41"/>
    <n v="35"/>
    <n v="8"/>
    <n v="26"/>
    <n v="36"/>
    <n v="6"/>
    <n v="13"/>
    <n v="22"/>
    <n v="9"/>
    <n v="43"/>
    <n v="40"/>
    <n v="8"/>
    <n v="46"/>
    <n v="48"/>
    <n v="3"/>
    <n v="31"/>
    <n v="19"/>
    <n v="23"/>
    <n v="48"/>
    <n v="0"/>
    <n v="32"/>
    <n v="205219"/>
    <n v="7657"/>
  </r>
  <r>
    <d v="2024-11-17T00:00:00"/>
    <x v="10"/>
    <n v="11"/>
    <n v="1077"/>
    <n v="819"/>
    <n v="29"/>
    <n v="3"/>
    <n v="9"/>
    <n v="17"/>
    <n v="36"/>
    <n v="20"/>
    <n v="31"/>
    <n v="48"/>
    <n v="6"/>
    <n v="12"/>
    <n v="1"/>
    <n v="49"/>
    <n v="11"/>
    <n v="43"/>
    <n v="12"/>
    <n v="36"/>
    <n v="45"/>
    <n v="9"/>
    <n v="45"/>
    <n v="14"/>
    <n v="45"/>
    <n v="44"/>
    <n v="4"/>
    <n v="36"/>
    <n v="2"/>
    <n v="38"/>
    <n v="41"/>
    <n v="49"/>
    <n v="39"/>
    <n v="14"/>
    <n v="9"/>
    <n v="2"/>
    <n v="3"/>
    <n v="47"/>
    <n v="30"/>
    <n v="13"/>
    <n v="0"/>
    <n v="44"/>
    <n v="29"/>
    <n v="5"/>
    <n v="37"/>
    <n v="11"/>
    <n v="15"/>
    <n v="29"/>
    <n v="33"/>
    <n v="26"/>
    <n v="34"/>
    <n v="35"/>
    <n v="26"/>
    <n v="34"/>
    <n v="20"/>
    <n v="43"/>
    <n v="205769"/>
    <n v="7669"/>
  </r>
  <r>
    <d v="2024-11-18T00:00:00"/>
    <x v="10"/>
    <n v="11"/>
    <n v="1079"/>
    <n v="820"/>
    <n v="14"/>
    <n v="19"/>
    <n v="13"/>
    <n v="27"/>
    <n v="38"/>
    <n v="21"/>
    <n v="29"/>
    <n v="31"/>
    <n v="4"/>
    <n v="9"/>
    <n v="42"/>
    <n v="1"/>
    <n v="36"/>
    <n v="38"/>
    <n v="25"/>
    <n v="41"/>
    <n v="31"/>
    <n v="39"/>
    <n v="4"/>
    <n v="18"/>
    <n v="31"/>
    <n v="37"/>
    <n v="38"/>
    <n v="35"/>
    <n v="32"/>
    <n v="35"/>
    <n v="25"/>
    <n v="36"/>
    <n v="3"/>
    <n v="30"/>
    <n v="23"/>
    <n v="42"/>
    <n v="45"/>
    <n v="13"/>
    <n v="0"/>
    <n v="10"/>
    <n v="34"/>
    <n v="18"/>
    <n v="38"/>
    <n v="12"/>
    <n v="1"/>
    <n v="15"/>
    <n v="37"/>
    <n v="37"/>
    <n v="46"/>
    <n v="18"/>
    <n v="7"/>
    <n v="21"/>
    <n v="17"/>
    <n v="43"/>
    <n v="12"/>
    <n v="14"/>
    <n v="206320"/>
    <n v="7681"/>
  </r>
  <r>
    <d v="2024-11-19T00:00:00"/>
    <x v="10"/>
    <n v="11"/>
    <n v="1080"/>
    <n v="821"/>
    <n v="45"/>
    <n v="34"/>
    <n v="43"/>
    <n v="4"/>
    <n v="2"/>
    <n v="41"/>
    <n v="15"/>
    <n v="7"/>
    <n v="13"/>
    <n v="38"/>
    <n v="45"/>
    <n v="33"/>
    <n v="20"/>
    <n v="48"/>
    <n v="2"/>
    <n v="31"/>
    <n v="5"/>
    <n v="49"/>
    <n v="14"/>
    <n v="27"/>
    <n v="9"/>
    <n v="36"/>
    <n v="16"/>
    <n v="5"/>
    <n v="7"/>
    <n v="15"/>
    <n v="29"/>
    <n v="27"/>
    <n v="32"/>
    <n v="27"/>
    <n v="41"/>
    <n v="13"/>
    <n v="16"/>
    <n v="3"/>
    <n v="9"/>
    <n v="37"/>
    <n v="24"/>
    <n v="43"/>
    <n v="19"/>
    <n v="20"/>
    <n v="37"/>
    <n v="29"/>
    <n v="10"/>
    <n v="37"/>
    <n v="2"/>
    <n v="28"/>
    <n v="18"/>
    <n v="12"/>
    <n v="0"/>
    <n v="16"/>
    <n v="29"/>
    <n v="11"/>
    <n v="206871"/>
    <n v="7693"/>
  </r>
  <r>
    <d v="2024-11-20T00:00:00"/>
    <x v="10"/>
    <n v="11"/>
    <n v="1082"/>
    <n v="821"/>
    <n v="7"/>
    <n v="15"/>
    <n v="5"/>
    <n v="4"/>
    <n v="46"/>
    <n v="2"/>
    <n v="1"/>
    <n v="16"/>
    <n v="45"/>
    <n v="5"/>
    <n v="41"/>
    <n v="5"/>
    <n v="44"/>
    <n v="1"/>
    <n v="39"/>
    <n v="9"/>
    <n v="12"/>
    <n v="5"/>
    <n v="28"/>
    <n v="31"/>
    <n v="34"/>
    <n v="17"/>
    <n v="29"/>
    <n v="14"/>
    <n v="4"/>
    <n v="5"/>
    <n v="13"/>
    <n v="29"/>
    <n v="23"/>
    <n v="24"/>
    <n v="39"/>
    <n v="29"/>
    <n v="48"/>
    <n v="40"/>
    <n v="41"/>
    <n v="26"/>
    <n v="30"/>
    <n v="1"/>
    <n v="3"/>
    <n v="28"/>
    <n v="1"/>
    <n v="6"/>
    <n v="30"/>
    <n v="25"/>
    <n v="31"/>
    <n v="31"/>
    <n v="24"/>
    <n v="13"/>
    <n v="5"/>
    <n v="0"/>
    <n v="34"/>
    <n v="11"/>
    <n v="207421"/>
    <n v="7705"/>
  </r>
  <r>
    <d v="2024-11-21T00:00:00"/>
    <x v="10"/>
    <n v="11"/>
    <n v="1084"/>
    <n v="822"/>
    <n v="49"/>
    <n v="28"/>
    <n v="16"/>
    <n v="48"/>
    <n v="25"/>
    <n v="45"/>
    <n v="36"/>
    <n v="12"/>
    <n v="21"/>
    <n v="47"/>
    <n v="36"/>
    <n v="29"/>
    <n v="19"/>
    <n v="12"/>
    <n v="24"/>
    <n v="6"/>
    <n v="18"/>
    <n v="30"/>
    <n v="26"/>
    <n v="32"/>
    <n v="25"/>
    <n v="37"/>
    <n v="14"/>
    <n v="33"/>
    <n v="2"/>
    <n v="10"/>
    <n v="22"/>
    <n v="41"/>
    <n v="6"/>
    <n v="23"/>
    <n v="12"/>
    <n v="8"/>
    <n v="2"/>
    <n v="25"/>
    <n v="17"/>
    <n v="45"/>
    <n v="37"/>
    <n v="32"/>
    <n v="49"/>
    <n v="12"/>
    <n v="2"/>
    <n v="4"/>
    <n v="35"/>
    <n v="10"/>
    <n v="21"/>
    <n v="28"/>
    <n v="47"/>
    <n v="16"/>
    <n v="3"/>
    <n v="49"/>
    <n v="18"/>
    <n v="16"/>
    <n v="207972"/>
    <n v="7717"/>
  </r>
  <r>
    <d v="2024-11-22T00:00:00"/>
    <x v="10"/>
    <n v="11"/>
    <n v="1085"/>
    <n v="823"/>
    <n v="8"/>
    <n v="41"/>
    <n v="41"/>
    <n v="31"/>
    <n v="25"/>
    <n v="32"/>
    <n v="0"/>
    <n v="45"/>
    <n v="38"/>
    <n v="4"/>
    <n v="2"/>
    <n v="4"/>
    <n v="16"/>
    <n v="39"/>
    <n v="39"/>
    <n v="38"/>
    <n v="39"/>
    <n v="43"/>
    <n v="33"/>
    <n v="9"/>
    <n v="18"/>
    <n v="41"/>
    <n v="40"/>
    <n v="17"/>
    <n v="3"/>
    <n v="24"/>
    <n v="29"/>
    <n v="37"/>
    <n v="24"/>
    <n v="38"/>
    <n v="2"/>
    <n v="36"/>
    <n v="46"/>
    <n v="46"/>
    <n v="4"/>
    <n v="39"/>
    <n v="22"/>
    <n v="28"/>
    <n v="25"/>
    <n v="34"/>
    <n v="29"/>
    <n v="3"/>
    <n v="39"/>
    <n v="29"/>
    <n v="33"/>
    <n v="37"/>
    <n v="21"/>
    <n v="46"/>
    <n v="2"/>
    <n v="31"/>
    <n v="17"/>
    <n v="41"/>
    <n v="208523"/>
    <n v="7729"/>
  </r>
  <r>
    <d v="2024-11-23T00:00:00"/>
    <x v="10"/>
    <n v="11"/>
    <n v="1087"/>
    <n v="823"/>
    <n v="45"/>
    <n v="10"/>
    <n v="37"/>
    <n v="14"/>
    <n v="22"/>
    <n v="1"/>
    <n v="23"/>
    <n v="4"/>
    <n v="47"/>
    <n v="42"/>
    <n v="35"/>
    <n v="24"/>
    <n v="39"/>
    <n v="21"/>
    <n v="39"/>
    <n v="18"/>
    <n v="7"/>
    <n v="38"/>
    <n v="30"/>
    <n v="36"/>
    <n v="0"/>
    <n v="3"/>
    <n v="38"/>
    <n v="34"/>
    <n v="10"/>
    <n v="37"/>
    <n v="26"/>
    <n v="17"/>
    <n v="18"/>
    <n v="27"/>
    <n v="11"/>
    <n v="49"/>
    <n v="9"/>
    <n v="30"/>
    <n v="47"/>
    <n v="17"/>
    <n v="0"/>
    <n v="0"/>
    <n v="4"/>
    <n v="14"/>
    <n v="25"/>
    <n v="30"/>
    <n v="14"/>
    <n v="32"/>
    <n v="23"/>
    <n v="20"/>
    <n v="0"/>
    <n v="27"/>
    <n v="12"/>
    <n v="13"/>
    <n v="27"/>
    <n v="9"/>
    <n v="209073"/>
    <n v="7741"/>
  </r>
  <r>
    <d v="2024-11-24T00:00:00"/>
    <x v="10"/>
    <n v="11"/>
    <n v="1089"/>
    <n v="824"/>
    <n v="31"/>
    <n v="18"/>
    <n v="23"/>
    <n v="36"/>
    <n v="19"/>
    <n v="22"/>
    <n v="18"/>
    <n v="5"/>
    <n v="20"/>
    <n v="1"/>
    <n v="14"/>
    <n v="40"/>
    <n v="22"/>
    <n v="36"/>
    <n v="46"/>
    <n v="38"/>
    <n v="26"/>
    <n v="7"/>
    <n v="46"/>
    <n v="26"/>
    <n v="25"/>
    <n v="47"/>
    <n v="7"/>
    <n v="22"/>
    <n v="38"/>
    <n v="42"/>
    <n v="19"/>
    <n v="21"/>
    <n v="25"/>
    <n v="19"/>
    <n v="22"/>
    <n v="20"/>
    <n v="18"/>
    <n v="11"/>
    <n v="30"/>
    <n v="0"/>
    <n v="35"/>
    <n v="15"/>
    <n v="49"/>
    <n v="29"/>
    <n v="31"/>
    <n v="25"/>
    <n v="34"/>
    <n v="46"/>
    <n v="23"/>
    <n v="17"/>
    <n v="5"/>
    <n v="13"/>
    <n v="30"/>
    <n v="20"/>
    <n v="30"/>
    <n v="6"/>
    <n v="209624"/>
    <n v="7753"/>
  </r>
  <r>
    <d v="2024-11-25T00:00:00"/>
    <x v="10"/>
    <n v="11"/>
    <n v="1090"/>
    <n v="825"/>
    <n v="18"/>
    <n v="37"/>
    <n v="26"/>
    <n v="0"/>
    <n v="12"/>
    <n v="31"/>
    <n v="48"/>
    <n v="10"/>
    <n v="8"/>
    <n v="16"/>
    <n v="15"/>
    <n v="24"/>
    <n v="8"/>
    <n v="27"/>
    <n v="19"/>
    <n v="26"/>
    <n v="42"/>
    <n v="17"/>
    <n v="13"/>
    <n v="45"/>
    <n v="22"/>
    <n v="12"/>
    <n v="31"/>
    <n v="6"/>
    <n v="20"/>
    <n v="45"/>
    <n v="17"/>
    <n v="31"/>
    <n v="12"/>
    <n v="48"/>
    <n v="48"/>
    <n v="48"/>
    <n v="23"/>
    <n v="37"/>
    <n v="22"/>
    <n v="18"/>
    <n v="36"/>
    <n v="33"/>
    <n v="4"/>
    <n v="10"/>
    <n v="14"/>
    <n v="2"/>
    <n v="23"/>
    <n v="33"/>
    <n v="31"/>
    <n v="32"/>
    <n v="29"/>
    <n v="33"/>
    <n v="8"/>
    <n v="45"/>
    <n v="7"/>
    <n v="24"/>
    <n v="210175"/>
    <n v="7766"/>
  </r>
  <r>
    <d v="2024-11-26T00:00:00"/>
    <x v="10"/>
    <n v="11"/>
    <n v="1092"/>
    <n v="826"/>
    <n v="16"/>
    <n v="40"/>
    <n v="17"/>
    <n v="43"/>
    <n v="43"/>
    <n v="22"/>
    <n v="6"/>
    <n v="21"/>
    <n v="11"/>
    <n v="10"/>
    <n v="34"/>
    <n v="49"/>
    <n v="44"/>
    <n v="4"/>
    <n v="35"/>
    <n v="26"/>
    <n v="32"/>
    <n v="44"/>
    <n v="25"/>
    <n v="17"/>
    <n v="49"/>
    <n v="48"/>
    <n v="5"/>
    <n v="12"/>
    <n v="46"/>
    <n v="24"/>
    <n v="28"/>
    <n v="18"/>
    <n v="12"/>
    <n v="2"/>
    <n v="47"/>
    <n v="39"/>
    <n v="46"/>
    <n v="42"/>
    <n v="36"/>
    <n v="32"/>
    <n v="45"/>
    <n v="16"/>
    <n v="10"/>
    <n v="39"/>
    <n v="33"/>
    <n v="17"/>
    <n v="6"/>
    <n v="19"/>
    <n v="11"/>
    <n v="11"/>
    <n v="27"/>
    <n v="23"/>
    <n v="20"/>
    <n v="6"/>
    <n v="40"/>
    <n v="31"/>
    <n v="210726"/>
    <n v="7778"/>
  </r>
  <r>
    <d v="2024-11-27T00:00:00"/>
    <x v="10"/>
    <n v="11"/>
    <n v="1094"/>
    <n v="826"/>
    <n v="23"/>
    <n v="13"/>
    <n v="13"/>
    <n v="45"/>
    <n v="0"/>
    <n v="32"/>
    <n v="16"/>
    <n v="38"/>
    <n v="44"/>
    <n v="29"/>
    <n v="39"/>
    <n v="38"/>
    <n v="3"/>
    <n v="11"/>
    <n v="25"/>
    <n v="23"/>
    <n v="47"/>
    <n v="43"/>
    <n v="7"/>
    <n v="14"/>
    <n v="34"/>
    <n v="14"/>
    <n v="33"/>
    <n v="26"/>
    <n v="48"/>
    <n v="21"/>
    <n v="10"/>
    <n v="30"/>
    <n v="6"/>
    <n v="27"/>
    <n v="5"/>
    <n v="41"/>
    <n v="27"/>
    <n v="39"/>
    <n v="16"/>
    <n v="5"/>
    <n v="33"/>
    <n v="0"/>
    <n v="13"/>
    <n v="45"/>
    <n v="29"/>
    <n v="10"/>
    <n v="16"/>
    <n v="4"/>
    <n v="0"/>
    <n v="1"/>
    <n v="0"/>
    <n v="18"/>
    <n v="24"/>
    <n v="40"/>
    <n v="45"/>
    <n v="16"/>
    <n v="211276"/>
    <n v="7790"/>
  </r>
  <r>
    <d v="2024-11-28T00:00:00"/>
    <x v="10"/>
    <n v="11"/>
    <n v="1095"/>
    <n v="827"/>
    <n v="2"/>
    <n v="37"/>
    <n v="0"/>
    <n v="47"/>
    <n v="33"/>
    <n v="40"/>
    <n v="4"/>
    <n v="23"/>
    <n v="9"/>
    <n v="48"/>
    <n v="31"/>
    <n v="31"/>
    <n v="6"/>
    <n v="1"/>
    <n v="44"/>
    <n v="9"/>
    <n v="0"/>
    <n v="32"/>
    <n v="3"/>
    <n v="44"/>
    <n v="34"/>
    <n v="32"/>
    <n v="27"/>
    <n v="29"/>
    <n v="38"/>
    <n v="25"/>
    <n v="22"/>
    <n v="33"/>
    <n v="48"/>
    <n v="14"/>
    <n v="31"/>
    <n v="7"/>
    <n v="8"/>
    <n v="27"/>
    <n v="32"/>
    <n v="19"/>
    <n v="15"/>
    <n v="19"/>
    <n v="19"/>
    <n v="28"/>
    <n v="1"/>
    <n v="13"/>
    <n v="46"/>
    <n v="24"/>
    <n v="5"/>
    <n v="6"/>
    <n v="30"/>
    <n v="2"/>
    <n v="10"/>
    <n v="34"/>
    <n v="24"/>
    <n v="40"/>
    <n v="211827"/>
    <n v="7802"/>
  </r>
  <r>
    <d v="2024-11-29T00:00:00"/>
    <x v="10"/>
    <n v="11"/>
    <n v="1097"/>
    <n v="828"/>
    <n v="7"/>
    <n v="47"/>
    <n v="24"/>
    <n v="48"/>
    <n v="13"/>
    <n v="19"/>
    <n v="41"/>
    <n v="11"/>
    <n v="49"/>
    <n v="39"/>
    <n v="12"/>
    <n v="37"/>
    <n v="7"/>
    <n v="28"/>
    <n v="4"/>
    <n v="44"/>
    <n v="4"/>
    <n v="16"/>
    <n v="9"/>
    <n v="4"/>
    <n v="36"/>
    <n v="28"/>
    <n v="38"/>
    <n v="16"/>
    <n v="43"/>
    <n v="44"/>
    <n v="25"/>
    <n v="29"/>
    <n v="21"/>
    <n v="23"/>
    <n v="33"/>
    <n v="26"/>
    <n v="1"/>
    <n v="40"/>
    <n v="33"/>
    <n v="34"/>
    <n v="25"/>
    <n v="41"/>
    <n v="24"/>
    <n v="7"/>
    <n v="38"/>
    <n v="10"/>
    <n v="4"/>
    <n v="37"/>
    <n v="23"/>
    <n v="48"/>
    <n v="11"/>
    <n v="7"/>
    <n v="10"/>
    <n v="36"/>
    <n v="3"/>
    <n v="9"/>
    <n v="212378"/>
    <n v="7814"/>
  </r>
  <r>
    <d v="2024-11-30T00:00:00"/>
    <x v="10"/>
    <n v="11"/>
    <n v="1099"/>
    <n v="828"/>
    <n v="47"/>
    <n v="42"/>
    <n v="38"/>
    <n v="42"/>
    <n v="27"/>
    <n v="48"/>
    <n v="35"/>
    <n v="15"/>
    <n v="16"/>
    <n v="3"/>
    <n v="38"/>
    <n v="27"/>
    <n v="36"/>
    <n v="8"/>
    <n v="5"/>
    <n v="8"/>
    <n v="4"/>
    <n v="34"/>
    <n v="19"/>
    <n v="23"/>
    <n v="9"/>
    <n v="49"/>
    <n v="46"/>
    <n v="21"/>
    <n v="23"/>
    <n v="48"/>
    <n v="22"/>
    <n v="23"/>
    <n v="38"/>
    <n v="22"/>
    <n v="35"/>
    <n v="11"/>
    <n v="8"/>
    <n v="45"/>
    <n v="37"/>
    <n v="46"/>
    <n v="31"/>
    <n v="37"/>
    <n v="11"/>
    <n v="1"/>
    <n v="5"/>
    <n v="0"/>
    <n v="6"/>
    <n v="15"/>
    <n v="37"/>
    <n v="6"/>
    <n v="9"/>
    <n v="40"/>
    <n v="19"/>
    <n v="11"/>
    <n v="41"/>
    <n v="18"/>
    <n v="212928"/>
    <n v="7826"/>
  </r>
  <r>
    <d v="2024-12-01T00:00:00"/>
    <x v="11"/>
    <n v="12"/>
    <n v="1100"/>
    <n v="829"/>
    <n v="11"/>
    <n v="33"/>
    <n v="48"/>
    <n v="18"/>
    <n v="20"/>
    <n v="45"/>
    <n v="2"/>
    <n v="18"/>
    <n v="49"/>
    <n v="1"/>
    <n v="10"/>
    <n v="24"/>
    <n v="32"/>
    <n v="21"/>
    <n v="36"/>
    <n v="12"/>
    <n v="13"/>
    <n v="15"/>
    <n v="1"/>
    <n v="7"/>
    <n v="38"/>
    <n v="13"/>
    <n v="3"/>
    <n v="0"/>
    <n v="47"/>
    <n v="46"/>
    <n v="10"/>
    <n v="43"/>
    <n v="9"/>
    <n v="10"/>
    <n v="11"/>
    <n v="34"/>
    <n v="11"/>
    <n v="15"/>
    <n v="6"/>
    <n v="11"/>
    <n v="38"/>
    <n v="5"/>
    <n v="33"/>
    <n v="41"/>
    <n v="6"/>
    <n v="21"/>
    <n v="10"/>
    <n v="13"/>
    <n v="14"/>
    <n v="10"/>
    <n v="15"/>
    <n v="12"/>
    <n v="13"/>
    <n v="20"/>
    <n v="28"/>
    <n v="18"/>
    <n v="213479"/>
    <n v="7838"/>
  </r>
  <r>
    <d v="2024-12-02T00:00:00"/>
    <x v="11"/>
    <n v="12"/>
    <n v="1102"/>
    <n v="830"/>
    <n v="37"/>
    <n v="45"/>
    <n v="33"/>
    <n v="0"/>
    <n v="20"/>
    <n v="37"/>
    <n v="12"/>
    <n v="32"/>
    <n v="32"/>
    <n v="12"/>
    <n v="3"/>
    <n v="17"/>
    <n v="29"/>
    <n v="44"/>
    <n v="43"/>
    <n v="3"/>
    <n v="17"/>
    <n v="32"/>
    <n v="6"/>
    <n v="22"/>
    <n v="41"/>
    <n v="46"/>
    <n v="18"/>
    <n v="20"/>
    <n v="17"/>
    <n v="24"/>
    <n v="37"/>
    <n v="10"/>
    <n v="35"/>
    <n v="38"/>
    <n v="27"/>
    <n v="23"/>
    <n v="45"/>
    <n v="35"/>
    <n v="47"/>
    <n v="37"/>
    <n v="15"/>
    <n v="27"/>
    <n v="46"/>
    <n v="45"/>
    <n v="26"/>
    <n v="11"/>
    <n v="19"/>
    <n v="4"/>
    <n v="34"/>
    <n v="38"/>
    <n v="12"/>
    <n v="24"/>
    <n v="0"/>
    <n v="36"/>
    <n v="30"/>
    <n v="25"/>
    <n v="214030"/>
    <n v="7850"/>
  </r>
  <r>
    <d v="2024-12-03T00:00:00"/>
    <x v="11"/>
    <n v="12"/>
    <n v="1103"/>
    <n v="830"/>
    <n v="40"/>
    <n v="29"/>
    <n v="11"/>
    <n v="1"/>
    <n v="32"/>
    <n v="45"/>
    <n v="48"/>
    <n v="31"/>
    <n v="12"/>
    <n v="6"/>
    <n v="0"/>
    <n v="19"/>
    <n v="41"/>
    <n v="49"/>
    <n v="5"/>
    <n v="26"/>
    <n v="31"/>
    <n v="2"/>
    <n v="40"/>
    <n v="28"/>
    <n v="30"/>
    <n v="32"/>
    <n v="43"/>
    <n v="38"/>
    <n v="32"/>
    <n v="21"/>
    <n v="15"/>
    <n v="22"/>
    <n v="20"/>
    <n v="5"/>
    <n v="48"/>
    <n v="18"/>
    <n v="15"/>
    <n v="3"/>
    <n v="8"/>
    <n v="0"/>
    <n v="24"/>
    <n v="32"/>
    <n v="44"/>
    <n v="49"/>
    <n v="18"/>
    <n v="24"/>
    <n v="37"/>
    <n v="2"/>
    <n v="19"/>
    <n v="40"/>
    <n v="24"/>
    <n v="37"/>
    <n v="23"/>
    <n v="17"/>
    <n v="48"/>
    <n v="29"/>
    <n v="214580"/>
    <n v="7862"/>
  </r>
  <r>
    <d v="2024-12-04T00:00:00"/>
    <x v="11"/>
    <n v="12"/>
    <n v="1105"/>
    <n v="831"/>
    <n v="26"/>
    <n v="28"/>
    <n v="5"/>
    <n v="24"/>
    <n v="42"/>
    <n v="22"/>
    <n v="10"/>
    <n v="37"/>
    <n v="39"/>
    <n v="14"/>
    <n v="9"/>
    <n v="34"/>
    <n v="16"/>
    <n v="48"/>
    <n v="11"/>
    <n v="22"/>
    <n v="49"/>
    <n v="23"/>
    <n v="2"/>
    <n v="24"/>
    <n v="29"/>
    <n v="37"/>
    <n v="29"/>
    <n v="19"/>
    <n v="46"/>
    <n v="39"/>
    <n v="31"/>
    <n v="3"/>
    <n v="30"/>
    <n v="39"/>
    <n v="15"/>
    <n v="26"/>
    <n v="21"/>
    <n v="19"/>
    <n v="17"/>
    <n v="22"/>
    <n v="36"/>
    <n v="27"/>
    <n v="24"/>
    <n v="24"/>
    <n v="47"/>
    <n v="1"/>
    <n v="2"/>
    <n v="27"/>
    <n v="25"/>
    <n v="0"/>
    <n v="36"/>
    <n v="10"/>
    <n v="5"/>
    <n v="34"/>
    <n v="5"/>
    <n v="29"/>
    <n v="215131"/>
    <n v="7874"/>
  </r>
  <r>
    <d v="2024-12-05T00:00:00"/>
    <x v="11"/>
    <n v="12"/>
    <n v="1107"/>
    <n v="832"/>
    <n v="30"/>
    <n v="44"/>
    <n v="11"/>
    <n v="6"/>
    <n v="17"/>
    <n v="1"/>
    <n v="37"/>
    <n v="9"/>
    <n v="25"/>
    <n v="11"/>
    <n v="30"/>
    <n v="6"/>
    <n v="48"/>
    <n v="31"/>
    <n v="13"/>
    <n v="17"/>
    <n v="27"/>
    <n v="14"/>
    <n v="48"/>
    <n v="16"/>
    <n v="12"/>
    <n v="16"/>
    <n v="30"/>
    <n v="27"/>
    <n v="0"/>
    <n v="10"/>
    <n v="32"/>
    <n v="11"/>
    <n v="44"/>
    <n v="42"/>
    <n v="10"/>
    <n v="4"/>
    <n v="48"/>
    <n v="24"/>
    <n v="29"/>
    <n v="41"/>
    <n v="38"/>
    <n v="15"/>
    <n v="4"/>
    <n v="35"/>
    <n v="31"/>
    <n v="30"/>
    <n v="29"/>
    <n v="1"/>
    <n v="39"/>
    <n v="22"/>
    <n v="24"/>
    <n v="14"/>
    <n v="26"/>
    <n v="22"/>
    <n v="36"/>
    <n v="48"/>
    <n v="215682"/>
    <n v="7886"/>
  </r>
  <r>
    <d v="2024-12-06T00:00:00"/>
    <x v="11"/>
    <n v="12"/>
    <n v="1108"/>
    <n v="832"/>
    <n v="12"/>
    <n v="33"/>
    <n v="17"/>
    <n v="29"/>
    <n v="19"/>
    <n v="44"/>
    <n v="27"/>
    <n v="39"/>
    <n v="43"/>
    <n v="37"/>
    <n v="6"/>
    <n v="45"/>
    <n v="24"/>
    <n v="23"/>
    <n v="48"/>
    <n v="14"/>
    <n v="39"/>
    <n v="0"/>
    <n v="6"/>
    <n v="13"/>
    <n v="15"/>
    <n v="34"/>
    <n v="34"/>
    <n v="9"/>
    <n v="3"/>
    <n v="2"/>
    <n v="15"/>
    <n v="30"/>
    <n v="38"/>
    <n v="27"/>
    <n v="36"/>
    <n v="21"/>
    <n v="38"/>
    <n v="39"/>
    <n v="44"/>
    <n v="5"/>
    <n v="44"/>
    <n v="33"/>
    <n v="18"/>
    <n v="22"/>
    <n v="23"/>
    <n v="21"/>
    <n v="37"/>
    <n v="48"/>
    <n v="6"/>
    <n v="39"/>
    <n v="9"/>
    <n v="47"/>
    <n v="18"/>
    <n v="17"/>
    <n v="27"/>
    <n v="8"/>
    <n v="216232"/>
    <n v="7898"/>
  </r>
  <r>
    <d v="2024-12-07T00:00:00"/>
    <x v="11"/>
    <n v="12"/>
    <n v="1110"/>
    <n v="833"/>
    <n v="0"/>
    <n v="41"/>
    <n v="37"/>
    <n v="47"/>
    <n v="48"/>
    <n v="18"/>
    <n v="42"/>
    <n v="33"/>
    <n v="5"/>
    <n v="1"/>
    <n v="18"/>
    <n v="41"/>
    <n v="1"/>
    <n v="49"/>
    <n v="46"/>
    <n v="16"/>
    <n v="35"/>
    <n v="12"/>
    <n v="28"/>
    <n v="12"/>
    <n v="0"/>
    <n v="21"/>
    <n v="35"/>
    <n v="42"/>
    <n v="47"/>
    <n v="34"/>
    <n v="17"/>
    <n v="29"/>
    <n v="13"/>
    <n v="8"/>
    <n v="22"/>
    <n v="36"/>
    <n v="19"/>
    <n v="34"/>
    <n v="18"/>
    <n v="24"/>
    <n v="11"/>
    <n v="46"/>
    <n v="18"/>
    <n v="9"/>
    <n v="29"/>
    <n v="15"/>
    <n v="39"/>
    <n v="0"/>
    <n v="3"/>
    <n v="33"/>
    <n v="4"/>
    <n v="0"/>
    <n v="27"/>
    <n v="46"/>
    <n v="46"/>
    <n v="48"/>
    <n v="216783"/>
    <n v="7910"/>
  </r>
  <r>
    <d v="2024-12-08T00:00:00"/>
    <x v="11"/>
    <n v="12"/>
    <n v="1112"/>
    <n v="834"/>
    <n v="18"/>
    <n v="25"/>
    <n v="48"/>
    <n v="11"/>
    <n v="36"/>
    <n v="35"/>
    <n v="23"/>
    <n v="28"/>
    <n v="44"/>
    <n v="16"/>
    <n v="2"/>
    <n v="27"/>
    <n v="31"/>
    <n v="44"/>
    <n v="38"/>
    <n v="3"/>
    <n v="7"/>
    <n v="10"/>
    <n v="31"/>
    <n v="32"/>
    <n v="43"/>
    <n v="39"/>
    <n v="31"/>
    <n v="1"/>
    <n v="45"/>
    <n v="18"/>
    <n v="0"/>
    <n v="3"/>
    <n v="43"/>
    <n v="6"/>
    <n v="41"/>
    <n v="28"/>
    <n v="33"/>
    <n v="39"/>
    <n v="34"/>
    <n v="35"/>
    <n v="31"/>
    <n v="12"/>
    <n v="25"/>
    <n v="40"/>
    <n v="17"/>
    <n v="20"/>
    <n v="20"/>
    <n v="38"/>
    <n v="46"/>
    <n v="12"/>
    <n v="5"/>
    <n v="18"/>
    <n v="47"/>
    <n v="27"/>
    <n v="13"/>
    <n v="31"/>
    <n v="217334"/>
    <n v="7922"/>
  </r>
  <r>
    <d v="2024-12-09T00:00:00"/>
    <x v="11"/>
    <n v="12"/>
    <n v="1113"/>
    <n v="834"/>
    <n v="22"/>
    <n v="4"/>
    <n v="30"/>
    <n v="32"/>
    <n v="11"/>
    <n v="34"/>
    <n v="24"/>
    <n v="15"/>
    <n v="19"/>
    <n v="8"/>
    <n v="48"/>
    <n v="39"/>
    <n v="31"/>
    <n v="13"/>
    <n v="43"/>
    <n v="20"/>
    <n v="21"/>
    <n v="43"/>
    <n v="4"/>
    <n v="48"/>
    <n v="23"/>
    <n v="34"/>
    <n v="2"/>
    <n v="35"/>
    <n v="34"/>
    <n v="21"/>
    <n v="17"/>
    <n v="16"/>
    <n v="34"/>
    <n v="15"/>
    <n v="4"/>
    <n v="37"/>
    <n v="12"/>
    <n v="11"/>
    <n v="14"/>
    <n v="15"/>
    <n v="43"/>
    <n v="48"/>
    <n v="19"/>
    <n v="32"/>
    <n v="25"/>
    <n v="16"/>
    <n v="45"/>
    <n v="34"/>
    <n v="7"/>
    <n v="17"/>
    <n v="20"/>
    <n v="17"/>
    <n v="36"/>
    <n v="46"/>
    <n v="37"/>
    <n v="26"/>
    <n v="217884"/>
    <n v="7934"/>
  </r>
  <r>
    <d v="2024-12-10T00:00:00"/>
    <x v="11"/>
    <n v="12"/>
    <n v="1115"/>
    <n v="835"/>
    <n v="10"/>
    <n v="41"/>
    <n v="21"/>
    <n v="22"/>
    <n v="44"/>
    <n v="32"/>
    <n v="46"/>
    <n v="29"/>
    <n v="2"/>
    <n v="24"/>
    <n v="0"/>
    <n v="47"/>
    <n v="35"/>
    <n v="11"/>
    <n v="26"/>
    <n v="11"/>
    <n v="16"/>
    <n v="0"/>
    <n v="20"/>
    <n v="33"/>
    <n v="15"/>
    <n v="2"/>
    <n v="26"/>
    <n v="34"/>
    <n v="0"/>
    <n v="17"/>
    <n v="46"/>
    <n v="10"/>
    <n v="37"/>
    <n v="22"/>
    <n v="16"/>
    <n v="45"/>
    <n v="31"/>
    <n v="13"/>
    <n v="6"/>
    <n v="35"/>
    <n v="31"/>
    <n v="44"/>
    <n v="7"/>
    <n v="22"/>
    <n v="13"/>
    <n v="29"/>
    <n v="40"/>
    <n v="35"/>
    <n v="10"/>
    <n v="39"/>
    <n v="45"/>
    <n v="15"/>
    <n v="10"/>
    <n v="26"/>
    <n v="39"/>
    <n v="18"/>
    <n v="218435"/>
    <n v="7946"/>
  </r>
  <r>
    <d v="2024-12-11T00:00:00"/>
    <x v="11"/>
    <n v="12"/>
    <n v="1117"/>
    <n v="836"/>
    <n v="15"/>
    <n v="26"/>
    <n v="6"/>
    <n v="12"/>
    <n v="22"/>
    <n v="46"/>
    <n v="0"/>
    <n v="8"/>
    <n v="33"/>
    <n v="15"/>
    <n v="24"/>
    <n v="32"/>
    <n v="36"/>
    <n v="16"/>
    <n v="2"/>
    <n v="7"/>
    <n v="21"/>
    <n v="41"/>
    <n v="42"/>
    <n v="24"/>
    <n v="6"/>
    <n v="14"/>
    <n v="39"/>
    <n v="45"/>
    <n v="42"/>
    <n v="16"/>
    <n v="28"/>
    <n v="29"/>
    <n v="21"/>
    <n v="46"/>
    <n v="24"/>
    <n v="17"/>
    <n v="47"/>
    <n v="30"/>
    <n v="40"/>
    <n v="38"/>
    <n v="40"/>
    <n v="42"/>
    <n v="17"/>
    <n v="9"/>
    <n v="43"/>
    <n v="6"/>
    <n v="5"/>
    <n v="20"/>
    <n v="2"/>
    <n v="45"/>
    <n v="23"/>
    <n v="12"/>
    <n v="30"/>
    <n v="12"/>
    <n v="24"/>
    <n v="8"/>
    <n v="218986"/>
    <n v="7958"/>
  </r>
  <r>
    <d v="2024-12-12T00:00:00"/>
    <x v="11"/>
    <n v="12"/>
    <n v="1118"/>
    <n v="836"/>
    <n v="6"/>
    <n v="38"/>
    <n v="0"/>
    <n v="28"/>
    <n v="38"/>
    <n v="22"/>
    <n v="18"/>
    <n v="38"/>
    <n v="32"/>
    <n v="45"/>
    <n v="17"/>
    <n v="47"/>
    <n v="3"/>
    <n v="33"/>
    <n v="5"/>
    <n v="10"/>
    <n v="26"/>
    <n v="26"/>
    <n v="12"/>
    <n v="2"/>
    <n v="19"/>
    <n v="36"/>
    <n v="27"/>
    <n v="44"/>
    <n v="20"/>
    <n v="20"/>
    <n v="18"/>
    <n v="31"/>
    <n v="11"/>
    <n v="25"/>
    <n v="39"/>
    <n v="43"/>
    <n v="25"/>
    <n v="6"/>
    <n v="22"/>
    <n v="14"/>
    <n v="7"/>
    <n v="25"/>
    <n v="46"/>
    <n v="29"/>
    <n v="10"/>
    <n v="25"/>
    <n v="19"/>
    <n v="3"/>
    <n v="2"/>
    <n v="6"/>
    <n v="32"/>
    <n v="14"/>
    <n v="27"/>
    <n v="31"/>
    <n v="32"/>
    <n v="45"/>
    <n v="219536"/>
    <n v="7970"/>
  </r>
  <r>
    <d v="2024-12-13T00:00:00"/>
    <x v="11"/>
    <n v="12"/>
    <n v="1120"/>
    <n v="837"/>
    <n v="21"/>
    <n v="37"/>
    <n v="18"/>
    <n v="36"/>
    <n v="29"/>
    <n v="49"/>
    <n v="11"/>
    <n v="26"/>
    <n v="40"/>
    <n v="4"/>
    <n v="29"/>
    <n v="0"/>
    <n v="48"/>
    <n v="38"/>
    <n v="4"/>
    <n v="36"/>
    <n v="42"/>
    <n v="32"/>
    <n v="26"/>
    <n v="35"/>
    <n v="1"/>
    <n v="21"/>
    <n v="22"/>
    <n v="46"/>
    <n v="45"/>
    <n v="17"/>
    <n v="47"/>
    <n v="7"/>
    <n v="32"/>
    <n v="28"/>
    <n v="4"/>
    <n v="38"/>
    <n v="41"/>
    <n v="41"/>
    <n v="3"/>
    <n v="11"/>
    <n v="32"/>
    <n v="15"/>
    <n v="14"/>
    <n v="0"/>
    <n v="18"/>
    <n v="46"/>
    <n v="22"/>
    <n v="17"/>
    <n v="18"/>
    <n v="42"/>
    <n v="31"/>
    <n v="26"/>
    <n v="14"/>
    <n v="28"/>
    <n v="24"/>
    <n v="25"/>
    <n v="220087"/>
    <n v="7983"/>
  </r>
  <r>
    <d v="2024-12-14T00:00:00"/>
    <x v="11"/>
    <n v="12"/>
    <n v="1122"/>
    <n v="838"/>
    <n v="23"/>
    <n v="2"/>
    <n v="41"/>
    <n v="11"/>
    <n v="6"/>
    <n v="15"/>
    <n v="20"/>
    <n v="31"/>
    <n v="8"/>
    <n v="10"/>
    <n v="11"/>
    <n v="32"/>
    <n v="0"/>
    <n v="10"/>
    <n v="46"/>
    <n v="35"/>
    <n v="16"/>
    <n v="19"/>
    <n v="8"/>
    <n v="26"/>
    <n v="23"/>
    <n v="43"/>
    <n v="15"/>
    <n v="44"/>
    <n v="12"/>
    <n v="2"/>
    <n v="21"/>
    <n v="7"/>
    <n v="15"/>
    <n v="41"/>
    <n v="17"/>
    <n v="10"/>
    <n v="10"/>
    <n v="19"/>
    <n v="49"/>
    <n v="2"/>
    <n v="16"/>
    <n v="36"/>
    <n v="42"/>
    <n v="5"/>
    <n v="14"/>
    <n v="4"/>
    <n v="25"/>
    <n v="16"/>
    <n v="4"/>
    <n v="5"/>
    <n v="4"/>
    <n v="30"/>
    <n v="26"/>
    <n v="10"/>
    <n v="39"/>
    <n v="10"/>
    <n v="220638"/>
    <n v="7995"/>
  </r>
  <r>
    <d v="2024-12-15T00:00:00"/>
    <x v="11"/>
    <n v="12"/>
    <n v="1123"/>
    <n v="839"/>
    <n v="23"/>
    <n v="25"/>
    <n v="27"/>
    <n v="11"/>
    <n v="19"/>
    <n v="34"/>
    <n v="46"/>
    <n v="40"/>
    <n v="14"/>
    <n v="2"/>
    <n v="48"/>
    <n v="36"/>
    <n v="49"/>
    <n v="14"/>
    <n v="45"/>
    <n v="27"/>
    <n v="41"/>
    <n v="28"/>
    <n v="20"/>
    <n v="4"/>
    <n v="16"/>
    <n v="11"/>
    <n v="8"/>
    <n v="49"/>
    <n v="3"/>
    <n v="0"/>
    <n v="33"/>
    <n v="23"/>
    <n v="4"/>
    <n v="14"/>
    <n v="23"/>
    <n v="34"/>
    <n v="10"/>
    <n v="34"/>
    <n v="22"/>
    <n v="43"/>
    <n v="48"/>
    <n v="30"/>
    <n v="29"/>
    <n v="42"/>
    <n v="21"/>
    <n v="40"/>
    <n v="17"/>
    <n v="35"/>
    <n v="31"/>
    <n v="12"/>
    <n v="28"/>
    <n v="40"/>
    <n v="2"/>
    <n v="5"/>
    <n v="49"/>
    <n v="20"/>
    <n v="221189"/>
    <n v="8007"/>
  </r>
  <r>
    <d v="2024-12-16T00:00:00"/>
    <x v="11"/>
    <n v="12"/>
    <n v="1125"/>
    <n v="839"/>
    <n v="40"/>
    <n v="20"/>
    <n v="40"/>
    <n v="12"/>
    <n v="27"/>
    <n v="45"/>
    <n v="23"/>
    <n v="20"/>
    <n v="30"/>
    <n v="37"/>
    <n v="14"/>
    <n v="49"/>
    <n v="44"/>
    <n v="12"/>
    <n v="29"/>
    <n v="25"/>
    <n v="46"/>
    <n v="14"/>
    <n v="19"/>
    <n v="11"/>
    <n v="40"/>
    <n v="24"/>
    <n v="46"/>
    <n v="30"/>
    <n v="11"/>
    <n v="20"/>
    <n v="30"/>
    <n v="13"/>
    <n v="48"/>
    <n v="15"/>
    <n v="34"/>
    <n v="44"/>
    <n v="14"/>
    <n v="40"/>
    <n v="41"/>
    <n v="30"/>
    <n v="12"/>
    <n v="45"/>
    <n v="28"/>
    <n v="29"/>
    <n v="23"/>
    <n v="14"/>
    <n v="6"/>
    <n v="25"/>
    <n v="44"/>
    <n v="11"/>
    <n v="35"/>
    <n v="16"/>
    <n v="36"/>
    <n v="32"/>
    <n v="27"/>
    <n v="24"/>
    <n v="221739"/>
    <n v="8019"/>
  </r>
  <r>
    <d v="2024-12-17T00:00:00"/>
    <x v="11"/>
    <n v="12"/>
    <n v="1126"/>
    <n v="840"/>
    <n v="19"/>
    <n v="41"/>
    <n v="39"/>
    <n v="38"/>
    <n v="12"/>
    <n v="41"/>
    <n v="25"/>
    <n v="14"/>
    <n v="14"/>
    <n v="24"/>
    <n v="34"/>
    <n v="11"/>
    <n v="40"/>
    <n v="17"/>
    <n v="0"/>
    <n v="43"/>
    <n v="12"/>
    <n v="3"/>
    <n v="37"/>
    <n v="45"/>
    <n v="40"/>
    <n v="29"/>
    <n v="4"/>
    <n v="31"/>
    <n v="3"/>
    <n v="23"/>
    <n v="48"/>
    <n v="32"/>
    <n v="18"/>
    <n v="30"/>
    <n v="18"/>
    <n v="32"/>
    <n v="17"/>
    <n v="33"/>
    <n v="1"/>
    <n v="25"/>
    <n v="35"/>
    <n v="40"/>
    <n v="22"/>
    <n v="14"/>
    <n v="14"/>
    <n v="5"/>
    <n v="10"/>
    <n v="29"/>
    <n v="40"/>
    <n v="6"/>
    <n v="37"/>
    <n v="25"/>
    <n v="43"/>
    <n v="23"/>
    <n v="47"/>
    <n v="23"/>
    <n v="222290"/>
    <n v="8031"/>
  </r>
  <r>
    <d v="2024-12-18T00:00:00"/>
    <x v="11"/>
    <n v="12"/>
    <n v="1128"/>
    <n v="841"/>
    <n v="26"/>
    <n v="5"/>
    <n v="26"/>
    <n v="19"/>
    <n v="38"/>
    <n v="10"/>
    <n v="33"/>
    <n v="16"/>
    <n v="9"/>
    <n v="41"/>
    <n v="17"/>
    <n v="28"/>
    <n v="41"/>
    <n v="35"/>
    <n v="28"/>
    <n v="34"/>
    <n v="7"/>
    <n v="6"/>
    <n v="28"/>
    <n v="8"/>
    <n v="34"/>
    <n v="16"/>
    <n v="32"/>
    <n v="34"/>
    <n v="42"/>
    <n v="46"/>
    <n v="35"/>
    <n v="27"/>
    <n v="11"/>
    <n v="27"/>
    <n v="37"/>
    <n v="42"/>
    <n v="3"/>
    <n v="6"/>
    <n v="45"/>
    <n v="37"/>
    <n v="44"/>
    <n v="45"/>
    <n v="37"/>
    <n v="47"/>
    <n v="34"/>
    <n v="2"/>
    <n v="8"/>
    <n v="0"/>
    <n v="32"/>
    <n v="21"/>
    <n v="44"/>
    <n v="37"/>
    <n v="23"/>
    <n v="10"/>
    <n v="34"/>
    <n v="2"/>
    <n v="222841"/>
    <n v="8043"/>
  </r>
  <r>
    <d v="2024-12-19T00:00:00"/>
    <x v="11"/>
    <n v="12"/>
    <n v="1130"/>
    <n v="841"/>
    <n v="6"/>
    <n v="21"/>
    <n v="0"/>
    <n v="8"/>
    <n v="37"/>
    <n v="33"/>
    <n v="32"/>
    <n v="9"/>
    <n v="14"/>
    <n v="24"/>
    <n v="35"/>
    <n v="24"/>
    <n v="15"/>
    <n v="10"/>
    <n v="48"/>
    <n v="14"/>
    <n v="36"/>
    <n v="42"/>
    <n v="28"/>
    <n v="34"/>
    <n v="6"/>
    <n v="0"/>
    <n v="36"/>
    <n v="6"/>
    <n v="23"/>
    <n v="16"/>
    <n v="33"/>
    <n v="10"/>
    <n v="36"/>
    <n v="0"/>
    <n v="10"/>
    <n v="30"/>
    <n v="6"/>
    <n v="14"/>
    <n v="35"/>
    <n v="7"/>
    <n v="30"/>
    <n v="48"/>
    <n v="22"/>
    <n v="42"/>
    <n v="38"/>
    <n v="26"/>
    <n v="32"/>
    <n v="49"/>
    <n v="1"/>
    <n v="0"/>
    <n v="15"/>
    <n v="15"/>
    <n v="48"/>
    <n v="15"/>
    <n v="33"/>
    <n v="12"/>
    <n v="223391"/>
    <n v="8055"/>
  </r>
  <r>
    <d v="2024-12-20T00:00:00"/>
    <x v="11"/>
    <n v="12"/>
    <n v="1131"/>
    <n v="842"/>
    <n v="42"/>
    <n v="13"/>
    <n v="40"/>
    <n v="48"/>
    <n v="24"/>
    <n v="13"/>
    <n v="10"/>
    <n v="3"/>
    <n v="30"/>
    <n v="46"/>
    <n v="22"/>
    <n v="11"/>
    <n v="39"/>
    <n v="13"/>
    <n v="13"/>
    <n v="38"/>
    <n v="23"/>
    <n v="27"/>
    <n v="40"/>
    <n v="5"/>
    <n v="48"/>
    <n v="46"/>
    <n v="35"/>
    <n v="7"/>
    <n v="0"/>
    <n v="14"/>
    <n v="17"/>
    <n v="10"/>
    <n v="42"/>
    <n v="25"/>
    <n v="30"/>
    <n v="13"/>
    <n v="1"/>
    <n v="47"/>
    <n v="36"/>
    <n v="44"/>
    <n v="24"/>
    <n v="45"/>
    <n v="10"/>
    <n v="47"/>
    <n v="44"/>
    <n v="28"/>
    <n v="29"/>
    <n v="34"/>
    <n v="15"/>
    <n v="29"/>
    <n v="17"/>
    <n v="4"/>
    <n v="20"/>
    <n v="12"/>
    <n v="40"/>
    <n v="21"/>
    <n v="223942"/>
    <n v="8067"/>
  </r>
  <r>
    <d v="2024-12-21T00:00:00"/>
    <x v="11"/>
    <n v="12"/>
    <n v="1133"/>
    <n v="843"/>
    <n v="16"/>
    <n v="31"/>
    <n v="18"/>
    <n v="44"/>
    <n v="26"/>
    <n v="7"/>
    <n v="43"/>
    <n v="21"/>
    <n v="35"/>
    <n v="26"/>
    <n v="32"/>
    <n v="45"/>
    <n v="48"/>
    <n v="2"/>
    <n v="31"/>
    <n v="9"/>
    <n v="18"/>
    <n v="36"/>
    <n v="48"/>
    <n v="39"/>
    <n v="20"/>
    <n v="0"/>
    <n v="47"/>
    <n v="21"/>
    <n v="41"/>
    <n v="48"/>
    <n v="16"/>
    <n v="25"/>
    <n v="42"/>
    <n v="39"/>
    <n v="25"/>
    <n v="17"/>
    <n v="5"/>
    <n v="22"/>
    <n v="16"/>
    <n v="36"/>
    <n v="46"/>
    <n v="12"/>
    <n v="10"/>
    <n v="1"/>
    <n v="4"/>
    <n v="4"/>
    <n v="31"/>
    <n v="33"/>
    <n v="40"/>
    <n v="6"/>
    <n v="30"/>
    <n v="18"/>
    <n v="6"/>
    <n v="1"/>
    <n v="32"/>
    <n v="34"/>
    <n v="224493"/>
    <n v="8079"/>
  </r>
  <r>
    <d v="2024-12-22T00:00:00"/>
    <x v="11"/>
    <n v="12"/>
    <n v="1135"/>
    <n v="843"/>
    <n v="9"/>
    <n v="43"/>
    <n v="2"/>
    <n v="17"/>
    <n v="0"/>
    <n v="48"/>
    <n v="26"/>
    <n v="5"/>
    <n v="26"/>
    <n v="33"/>
    <n v="5"/>
    <n v="17"/>
    <n v="27"/>
    <n v="8"/>
    <n v="23"/>
    <n v="46"/>
    <n v="36"/>
    <n v="33"/>
    <n v="17"/>
    <n v="29"/>
    <n v="10"/>
    <n v="20"/>
    <n v="36"/>
    <n v="24"/>
    <n v="19"/>
    <n v="4"/>
    <n v="34"/>
    <n v="7"/>
    <n v="46"/>
    <n v="30"/>
    <n v="16"/>
    <n v="49"/>
    <n v="22"/>
    <n v="42"/>
    <n v="25"/>
    <n v="40"/>
    <n v="12"/>
    <n v="13"/>
    <n v="30"/>
    <n v="37"/>
    <n v="12"/>
    <n v="43"/>
    <n v="38"/>
    <n v="32"/>
    <n v="44"/>
    <n v="48"/>
    <n v="44"/>
    <n v="21"/>
    <n v="36"/>
    <n v="1"/>
    <n v="45"/>
    <n v="15"/>
    <n v="225043"/>
    <n v="8091"/>
  </r>
  <r>
    <d v="2024-12-23T00:00:00"/>
    <x v="11"/>
    <n v="12"/>
    <n v="1136"/>
    <n v="844"/>
    <n v="31"/>
    <n v="21"/>
    <n v="27"/>
    <n v="31"/>
    <n v="32"/>
    <n v="43"/>
    <n v="20"/>
    <n v="5"/>
    <n v="11"/>
    <n v="11"/>
    <n v="36"/>
    <n v="29"/>
    <n v="27"/>
    <n v="16"/>
    <n v="47"/>
    <n v="1"/>
    <n v="14"/>
    <n v="41"/>
    <n v="3"/>
    <n v="33"/>
    <n v="37"/>
    <n v="40"/>
    <n v="46"/>
    <n v="23"/>
    <n v="14"/>
    <n v="3"/>
    <n v="38"/>
    <n v="3"/>
    <n v="7"/>
    <n v="9"/>
    <n v="46"/>
    <n v="6"/>
    <n v="31"/>
    <n v="11"/>
    <n v="28"/>
    <n v="16"/>
    <n v="12"/>
    <n v="12"/>
    <n v="40"/>
    <n v="30"/>
    <n v="9"/>
    <n v="45"/>
    <n v="6"/>
    <n v="8"/>
    <n v="20"/>
    <n v="39"/>
    <n v="41"/>
    <n v="14"/>
    <n v="43"/>
    <n v="44"/>
    <n v="47"/>
    <n v="39"/>
    <n v="225594"/>
    <n v="8103"/>
  </r>
  <r>
    <d v="2024-12-24T00:00:00"/>
    <x v="11"/>
    <n v="12"/>
    <n v="1138"/>
    <n v="845"/>
    <n v="49"/>
    <n v="2"/>
    <n v="1"/>
    <n v="13"/>
    <n v="45"/>
    <n v="26"/>
    <n v="49"/>
    <n v="3"/>
    <n v="38"/>
    <n v="11"/>
    <n v="31"/>
    <n v="33"/>
    <n v="13"/>
    <n v="17"/>
    <n v="49"/>
    <n v="16"/>
    <n v="43"/>
    <n v="48"/>
    <n v="42"/>
    <n v="11"/>
    <n v="27"/>
    <n v="39"/>
    <n v="18"/>
    <n v="42"/>
    <n v="18"/>
    <n v="37"/>
    <n v="2"/>
    <n v="28"/>
    <n v="29"/>
    <n v="46"/>
    <n v="41"/>
    <n v="22"/>
    <n v="27"/>
    <n v="10"/>
    <n v="3"/>
    <n v="36"/>
    <n v="12"/>
    <n v="8"/>
    <n v="33"/>
    <n v="25"/>
    <n v="20"/>
    <n v="4"/>
    <n v="11"/>
    <n v="17"/>
    <n v="37"/>
    <n v="20"/>
    <n v="12"/>
    <n v="47"/>
    <n v="18"/>
    <n v="33"/>
    <n v="15"/>
    <n v="31"/>
    <n v="226145"/>
    <n v="8115"/>
  </r>
  <r>
    <d v="2024-12-25T00:00:00"/>
    <x v="11"/>
    <n v="12"/>
    <n v="1140"/>
    <n v="845"/>
    <n v="18"/>
    <n v="30"/>
    <n v="16"/>
    <n v="41"/>
    <n v="1"/>
    <n v="7"/>
    <n v="48"/>
    <n v="44"/>
    <n v="13"/>
    <n v="21"/>
    <n v="41"/>
    <n v="27"/>
    <n v="33"/>
    <n v="25"/>
    <n v="19"/>
    <n v="26"/>
    <n v="45"/>
    <n v="39"/>
    <n v="16"/>
    <n v="24"/>
    <n v="27"/>
    <n v="30"/>
    <n v="4"/>
    <n v="6"/>
    <n v="12"/>
    <n v="8"/>
    <n v="42"/>
    <n v="47"/>
    <n v="45"/>
    <n v="12"/>
    <n v="15"/>
    <n v="30"/>
    <n v="41"/>
    <n v="30"/>
    <n v="26"/>
    <n v="10"/>
    <n v="6"/>
    <n v="24"/>
    <n v="34"/>
    <n v="33"/>
    <n v="38"/>
    <n v="45"/>
    <n v="42"/>
    <n v="15"/>
    <n v="48"/>
    <n v="35"/>
    <n v="13"/>
    <n v="22"/>
    <n v="10"/>
    <n v="32"/>
    <n v="31"/>
    <n v="7"/>
    <n v="226695"/>
    <n v="8127"/>
  </r>
  <r>
    <d v="2024-12-26T00:00:00"/>
    <x v="11"/>
    <n v="12"/>
    <n v="1141"/>
    <n v="846"/>
    <n v="12"/>
    <n v="31"/>
    <n v="23"/>
    <n v="9"/>
    <n v="20"/>
    <n v="16"/>
    <n v="25"/>
    <n v="48"/>
    <n v="23"/>
    <n v="35"/>
    <n v="10"/>
    <n v="2"/>
    <n v="32"/>
    <n v="36"/>
    <n v="26"/>
    <n v="2"/>
    <n v="24"/>
    <n v="5"/>
    <n v="46"/>
    <n v="33"/>
    <n v="48"/>
    <n v="35"/>
    <n v="36"/>
    <n v="49"/>
    <n v="45"/>
    <n v="30"/>
    <n v="10"/>
    <n v="24"/>
    <n v="21"/>
    <n v="1"/>
    <n v="40"/>
    <n v="43"/>
    <n v="10"/>
    <n v="30"/>
    <n v="11"/>
    <n v="28"/>
    <n v="39"/>
    <n v="0"/>
    <n v="25"/>
    <n v="20"/>
    <n v="10"/>
    <n v="29"/>
    <n v="25"/>
    <n v="44"/>
    <n v="2"/>
    <n v="8"/>
    <n v="8"/>
    <n v="45"/>
    <n v="39"/>
    <n v="1"/>
    <n v="9"/>
    <n v="24"/>
    <n v="227246"/>
    <n v="8139"/>
  </r>
  <r>
    <d v="2024-12-27T00:00:00"/>
    <x v="11"/>
    <n v="12"/>
    <n v="1143"/>
    <n v="847"/>
    <n v="4"/>
    <n v="42"/>
    <n v="20"/>
    <n v="18"/>
    <n v="34"/>
    <n v="12"/>
    <n v="20"/>
    <n v="38"/>
    <n v="9"/>
    <n v="40"/>
    <n v="29"/>
    <n v="35"/>
    <n v="23"/>
    <n v="22"/>
    <n v="3"/>
    <n v="36"/>
    <n v="40"/>
    <n v="43"/>
    <n v="42"/>
    <n v="15"/>
    <n v="48"/>
    <n v="40"/>
    <n v="17"/>
    <n v="20"/>
    <n v="6"/>
    <n v="24"/>
    <n v="41"/>
    <n v="38"/>
    <n v="34"/>
    <n v="5"/>
    <n v="46"/>
    <n v="26"/>
    <n v="38"/>
    <n v="3"/>
    <n v="1"/>
    <n v="4"/>
    <n v="28"/>
    <n v="17"/>
    <n v="32"/>
    <n v="38"/>
    <n v="0"/>
    <n v="34"/>
    <n v="42"/>
    <n v="23"/>
    <n v="7"/>
    <n v="30"/>
    <n v="48"/>
    <n v="31"/>
    <n v="40"/>
    <n v="45"/>
    <n v="33"/>
    <n v="45"/>
    <n v="227797"/>
    <n v="8151"/>
  </r>
  <r>
    <d v="2024-12-28T00:00:00"/>
    <x v="11"/>
    <n v="12"/>
    <n v="1145"/>
    <n v="847"/>
    <n v="36"/>
    <n v="18"/>
    <n v="32"/>
    <n v="2"/>
    <n v="23"/>
    <n v="28"/>
    <n v="36"/>
    <n v="28"/>
    <n v="31"/>
    <n v="11"/>
    <n v="48"/>
    <n v="41"/>
    <n v="1"/>
    <n v="42"/>
    <n v="7"/>
    <n v="9"/>
    <n v="48"/>
    <n v="38"/>
    <n v="43"/>
    <n v="48"/>
    <n v="20"/>
    <n v="38"/>
    <n v="44"/>
    <n v="19"/>
    <n v="34"/>
    <n v="19"/>
    <n v="9"/>
    <n v="39"/>
    <n v="26"/>
    <n v="27"/>
    <n v="45"/>
    <n v="31"/>
    <n v="5"/>
    <n v="8"/>
    <n v="24"/>
    <n v="30"/>
    <n v="41"/>
    <n v="20"/>
    <n v="5"/>
    <n v="23"/>
    <n v="29"/>
    <n v="45"/>
    <n v="31"/>
    <n v="17"/>
    <n v="5"/>
    <n v="7"/>
    <n v="31"/>
    <n v="22"/>
    <n v="48"/>
    <n v="33"/>
    <n v="21"/>
    <n v="44"/>
    <n v="228347"/>
    <n v="8163"/>
  </r>
  <r>
    <d v="2024-12-29T00:00:00"/>
    <x v="11"/>
    <n v="12"/>
    <n v="1146"/>
    <n v="848"/>
    <n v="17"/>
    <n v="23"/>
    <n v="27"/>
    <n v="39"/>
    <n v="45"/>
    <n v="1"/>
    <n v="22"/>
    <n v="0"/>
    <n v="29"/>
    <n v="31"/>
    <n v="42"/>
    <n v="19"/>
    <n v="45"/>
    <n v="8"/>
    <n v="11"/>
    <n v="15"/>
    <n v="21"/>
    <n v="43"/>
    <n v="47"/>
    <n v="30"/>
    <n v="28"/>
    <n v="4"/>
    <n v="9"/>
    <n v="25"/>
    <n v="38"/>
    <n v="0"/>
    <n v="22"/>
    <n v="27"/>
    <n v="22"/>
    <n v="4"/>
    <n v="9"/>
    <n v="35"/>
    <n v="41"/>
    <n v="35"/>
    <n v="29"/>
    <n v="5"/>
    <n v="19"/>
    <n v="27"/>
    <n v="21"/>
    <n v="3"/>
    <n v="41"/>
    <n v="16"/>
    <n v="4"/>
    <n v="42"/>
    <n v="6"/>
    <n v="25"/>
    <n v="26"/>
    <n v="40"/>
    <n v="8"/>
    <n v="3"/>
    <n v="41"/>
    <n v="19"/>
    <n v="228898"/>
    <n v="8175"/>
  </r>
  <r>
    <d v="2024-12-30T00:00:00"/>
    <x v="11"/>
    <n v="12"/>
    <n v="1148"/>
    <n v="849"/>
    <n v="1"/>
    <n v="43"/>
    <n v="0"/>
    <n v="38"/>
    <n v="47"/>
    <n v="3"/>
    <n v="12"/>
    <n v="36"/>
    <n v="44"/>
    <n v="49"/>
    <n v="0"/>
    <n v="17"/>
    <n v="11"/>
    <n v="6"/>
    <n v="5"/>
    <n v="37"/>
    <n v="0"/>
    <n v="1"/>
    <n v="34"/>
    <n v="23"/>
    <n v="11"/>
    <n v="27"/>
    <n v="21"/>
    <n v="45"/>
    <n v="27"/>
    <n v="4"/>
    <n v="42"/>
    <n v="25"/>
    <n v="4"/>
    <n v="46"/>
    <n v="28"/>
    <n v="35"/>
    <n v="2"/>
    <n v="44"/>
    <n v="44"/>
    <n v="14"/>
    <n v="31"/>
    <n v="3"/>
    <n v="13"/>
    <n v="2"/>
    <n v="25"/>
    <n v="0"/>
    <n v="5"/>
    <n v="9"/>
    <n v="9"/>
    <n v="48"/>
    <n v="25"/>
    <n v="33"/>
    <n v="7"/>
    <n v="9"/>
    <n v="23"/>
    <n v="36"/>
    <n v="229449"/>
    <n v="8187"/>
  </r>
  <r>
    <d v="2024-12-31T00:00:00"/>
    <x v="11"/>
    <n v="12"/>
    <n v="1150"/>
    <n v="850"/>
    <n v="25"/>
    <n v="48"/>
    <n v="5"/>
    <n v="30"/>
    <n v="36"/>
    <n v="11"/>
    <n v="39"/>
    <n v="4"/>
    <n v="30"/>
    <n v="24"/>
    <n v="22"/>
    <n v="8"/>
    <n v="13"/>
    <n v="23"/>
    <n v="16"/>
    <n v="25"/>
    <n v="43"/>
    <n v="31"/>
    <n v="10"/>
    <n v="3"/>
    <n v="44"/>
    <n v="31"/>
    <n v="19"/>
    <n v="1"/>
    <n v="1"/>
    <n v="23"/>
    <n v="13"/>
    <n v="27"/>
    <n v="30"/>
    <n v="23"/>
    <n v="19"/>
    <n v="14"/>
    <n v="37"/>
    <n v="38"/>
    <n v="49"/>
    <n v="32"/>
    <n v="24"/>
    <n v="14"/>
    <n v="23"/>
    <n v="14"/>
    <n v="24"/>
    <n v="31"/>
    <n v="12"/>
    <n v="2"/>
    <n v="6"/>
    <n v="33"/>
    <n v="44"/>
    <n v="28"/>
    <n v="9"/>
    <n v="30"/>
    <n v="32"/>
    <n v="26"/>
    <n v="230000"/>
    <n v="8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59A0B9-DDA2-4DCD-A2E0-B01F8359AD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C33" firstHeaderRow="0" firstDataRow="1" firstDataCol="1"/>
  <pivotFields count="59">
    <pivotField numFmtId="14" showAll="0"/>
    <pivotField axis="axisRow" showAll="0">
      <items count="13">
        <item x="0"/>
        <item x="1"/>
        <item x="2"/>
        <item x="3"/>
        <item x="4"/>
        <item x="5"/>
        <item x="6"/>
        <item x="7"/>
        <item x="8"/>
        <item x="9"/>
        <item x="10"/>
        <item x="11"/>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Income" fld="3" baseField="0" baseItem="0"/>
    <dataField name="Sum of Expens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5B7B2A-E745-4AB9-BB7F-827C4CEB1C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X5" firstHeaderRow="0" firstDataRow="1" firstDataCol="1"/>
  <pivotFields count="59">
    <pivotField numFmtId="14" showAll="0"/>
    <pivotField axis="axisRow" showAll="0">
      <items count="13">
        <item x="0"/>
        <item h="1" x="1"/>
        <item h="1" x="2"/>
        <item h="1" x="3"/>
        <item h="1" x="4"/>
        <item h="1" x="5"/>
        <item h="1" x="6"/>
        <item h="1" x="7"/>
        <item h="1" x="8"/>
        <item h="1" x="9"/>
        <item h="1" x="10"/>
        <item h="1"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s>
  <rowFields count="1">
    <field x="1"/>
  </rowFields>
  <rowItems count="2">
    <i>
      <x/>
    </i>
    <i t="grand">
      <x/>
    </i>
  </rowItems>
  <colFields count="1">
    <field x="-2"/>
  </colFields>
  <colItems count="2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colItems>
  <dataFields count="23">
    <dataField name="Max of Month N" fld="2" subtotal="max" baseField="1" baseItem="0"/>
    <dataField name="Sum of Income" fld="3" baseField="0" baseItem="0"/>
    <dataField name="Sum of Expenses" fld="4" baseField="0" baseItem="0"/>
    <dataField name="Average of Balance" fld="58" subtotal="average" baseField="1" baseItem="0"/>
    <dataField name="Sum of Non-Fixed Incom" fld="5" baseField="0" baseItem="0"/>
    <dataField name="Sum of Fixed Incom" fld="6" baseField="0" baseItem="0"/>
    <dataField name="Sum of Other Income" fld="7" baseField="0" baseItem="0"/>
    <dataField name="Sum of Non-Fixed Cost" fld="8" baseField="0" baseItem="0"/>
    <dataField name="Sum of Fixed Costs" fld="9" baseField="0" baseItem="0"/>
    <dataField name="Sum of Other Cost" fld="10" baseField="0" baseItem="0"/>
    <dataField name="Average of Investments Business" fld="44" subtotal="average" baseField="1" baseItem="0"/>
    <dataField name="Average of Investments Securities" fld="45" subtotal="average" baseField="1" baseItem="0"/>
    <dataField name="Average of Investments Cryptocurrency" fld="46" subtotal="average" baseField="1" baseItem="0"/>
    <dataField name="Average of Investments Real estate" fld="47" subtotal="average" baseField="1" baseItem="0"/>
    <dataField name="Average of Investments Gold" fld="48" subtotal="average" baseField="1" baseItem="0"/>
    <dataField name="Average of Mortgage" fld="49" subtotal="average" baseField="1" baseItem="0"/>
    <dataField name="Average of Car Leasing" fld="50" subtotal="average" baseField="1" baseItem="0"/>
    <dataField name="Average of Consumer Credit" fld="51" subtotal="average" baseField="1" baseItem="0"/>
    <dataField name="Average of Credit Card" fld="52" subtotal="average" baseField="1" baseItem="0"/>
    <dataField name="Average of Goal 1" fld="53" subtotal="average" baseField="1" baseItem="0"/>
    <dataField name="Average of Goal 2" fld="54" subtotal="average" baseField="1" baseItem="0"/>
    <dataField name="Average of Goal 3" fld="55" subtotal="average" baseField="1" baseItem="0"/>
    <dataField name="Average of Goal 4" fld="56" subtotal="average" baseField="1" baseItem="0"/>
  </dataFields>
  <formats count="3">
    <format dxfId="4">
      <pivotArea field="1" grandRow="1" outline="0" collapsedLevelsAreSubtotals="1" axis="axisRow" fieldPosition="0">
        <references count="1">
          <reference field="4294967294" count="4" selected="0">
            <x v="15"/>
            <x v="16"/>
            <x v="17"/>
            <x v="18"/>
          </reference>
        </references>
      </pivotArea>
    </format>
    <format dxfId="3">
      <pivotArea field="1" grandRow="1" outline="0" collapsedLevelsAreSubtotals="1" axis="axisRow" fieldPosition="0">
        <references count="1">
          <reference field="4294967294" count="4" selected="0">
            <x v="10"/>
            <x v="11"/>
            <x v="12"/>
            <x v="13"/>
          </reference>
        </references>
      </pivotArea>
    </format>
    <format dxfId="2">
      <pivotArea field="1" grandRow="1" outline="0" collapsedLevelsAreSubtotals="1" axis="axisRow" fieldPosition="0">
        <references count="1">
          <reference field="4294967294" count="4" selected="0">
            <x v="19"/>
            <x v="20"/>
            <x v="21"/>
            <x v="2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13A440-F74B-4918-BE30-15C67B8BDFD7}" autoFormatId="16" applyNumberFormats="0" applyBorderFormats="0" applyFontFormats="0" applyPatternFormats="0" applyAlignmentFormats="0" applyWidthHeightFormats="0">
  <queryTableRefresh nextId="60">
    <queryTableFields count="59">
      <queryTableField id="1" name="Date" tableColumnId="1"/>
      <queryTableField id="2" name="Month" tableColumnId="2"/>
      <queryTableField id="3" name="Month N" tableColumnId="3"/>
      <queryTableField id="4" name="Income" tableColumnId="4"/>
      <queryTableField id="5" name="Expenses" tableColumnId="5"/>
      <queryTableField id="6" name="Non-Fixed Incom" tableColumnId="6"/>
      <queryTableField id="7" name="Fixed Incom" tableColumnId="7"/>
      <queryTableField id="8" name="Other Income" tableColumnId="8"/>
      <queryTableField id="9" name="Non-Fixed Cost" tableColumnId="9"/>
      <queryTableField id="10" name="Fixed Costs" tableColumnId="10"/>
      <queryTableField id="11" name="Other Cost" tableColumnId="11"/>
      <queryTableField id="12" name="Fixed Incom Business" tableColumnId="12"/>
      <queryTableField id="13" name="Fixed Incom Securities" tableColumnId="13"/>
      <queryTableField id="14" name="Fixed Incom Real estate" tableColumnId="14"/>
      <queryTableField id="15" name="Fixed Incom Gold" tableColumnId="15"/>
      <queryTableField id="16" name="Fixed Incom Cryptocurrency" tableColumnId="16"/>
      <queryTableField id="17" name="Loans" tableColumnId="17"/>
      <queryTableField id="18" name="Training courses" tableColumnId="18"/>
      <queryTableField id="19" name="Travel public transport" tableColumnId="19"/>
      <queryTableField id="20" name="Mobile connection" tableColumnId="20"/>
      <queryTableField id="21" name="Food" tableColumnId="21"/>
      <queryTableField id="22" name="Utility Payments" tableColumnId="22"/>
      <queryTableField id="23" name="Internet &amp; TV" tableColumnId="23"/>
      <queryTableField id="24" name="Household chemicals" tableColumnId="24"/>
      <queryTableField id="25" name="Furniture &amp; utensils" tableColumnId="25"/>
      <queryTableField id="26" name="BedLinen &amp; tablecloth" tableColumnId="26"/>
      <queryTableField id="27" name="Cat food" tableColumnId="27"/>
      <queryTableField id="28" name="Clothing &amp; footwear" tableColumnId="28"/>
      <queryTableField id="29" name="Gym" tableColumnId="29"/>
      <queryTableField id="30" name="Hygiene products" tableColumnId="30"/>
      <queryTableField id="31" name="Medications" tableColumnId="31"/>
      <queryTableField id="32" name="Hairdresser" tableColumnId="32"/>
      <queryTableField id="33" name="Cosmetics &amp; perfumery" tableColumnId="33"/>
      <queryTableField id="34" name="Fuel" tableColumnId="34"/>
      <queryTableField id="35" name="Spare parts" tableColumnId="35"/>
      <queryTableField id="36" name="Parking" tableColumnId="36"/>
      <queryTableField id="37" name="Washing" tableColumnId="37"/>
      <queryTableField id="38" name="Insurance" tableColumnId="38"/>
      <queryTableField id="39" name="Holidays" tableColumnId="39"/>
      <queryTableField id="40" name="Excursions" tableColumnId="40"/>
      <queryTableField id="41" name="Restaurants" tableColumnId="41"/>
      <queryTableField id="42" name="Hotels" tableColumnId="42"/>
      <queryTableField id="43" name="Bags, packages, boxes" tableColumnId="43"/>
      <queryTableField id="44" name="Snacks on the way" tableColumnId="44"/>
      <queryTableField id="45" name="Investments Business" tableColumnId="45"/>
      <queryTableField id="46" name="Investments Securities" tableColumnId="46"/>
      <queryTableField id="47" name="Investments Cryptocurrency" tableColumnId="47"/>
      <queryTableField id="48" name="Investments Real estate" tableColumnId="48"/>
      <queryTableField id="49" name="Investments Gold" tableColumnId="49"/>
      <queryTableField id="50" name="Mortgage" tableColumnId="50"/>
      <queryTableField id="51" name="Car Leasing" tableColumnId="51"/>
      <queryTableField id="52" name="Consumer Credit" tableColumnId="52"/>
      <queryTableField id="53" name="Credit Card" tableColumnId="53"/>
      <queryTableField id="54" name="Goal 1" tableColumnId="54"/>
      <queryTableField id="55" name="Goal 2" tableColumnId="55"/>
      <queryTableField id="56" name="Goal 3" tableColumnId="56"/>
      <queryTableField id="57" name="Goal 4" tableColumnId="57"/>
      <queryTableField id="58" name="Monthly Plan" tableColumnId="58"/>
      <queryTableField id="59" name="Balance" tableColumnId="59"/>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Treasure chest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944101A-F6D2-4B8B-8C8F-02BAA530C214}" sourceName="Month">
  <pivotTables>
    <pivotTable tabId="2" name="PivotTable1"/>
  </pivotTables>
  <data>
    <tabular pivotCacheId="17625895">
      <items count="12">
        <i x="0" s="1"/>
        <i x="1"/>
        <i x="2"/>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778404D-4A76-49BA-972A-FD3FF821A973}" cache="Slicer_Month" caption="Month" columnCount="12" showCaption="0" style="SlicerStyleLight1 2" rowHeight="24688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DBA08C02-4356-4585-BAB2-43094C7A8BF2}" cache="Slicer_Month" caption="Month" columnCount="12" showCaption="0" style="SlicerStyleLight1 2" rowHeight="24688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07881462-A612-414B-8955-44334044EB94}" cache="Slicer_Month" caption="Month" columnCount="12" showCaption="0" style="SlicerStyleLight1 2" rowHeight="24688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52F919F5-F9A6-4A7F-8EED-591C0404DAE7}" cache="Slicer_Month" caption="Month" columnCount="12" showCaption="0" style="SlicerStyleLight1 2" rowHeight="246888"/>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6" xr10:uid="{0B9426DF-94C1-4A1E-BD11-D574B42BCC55}" cache="Slicer_Month" caption="Month" columnCount="12" showCaption="0" style="SlicerStyleLight1 2" rowHeight="24688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293924-5F65-4396-96EE-B28CA82CB5B9}" name="mydata" displayName="mydata" ref="A1:BG367" tableType="queryTable" totalsRowShown="0">
  <autoFilter ref="A1:BG367" xr:uid="{DF293924-5F65-4396-96EE-B28CA82CB5B9}"/>
  <tableColumns count="59">
    <tableColumn id="1" xr3:uid="{E0B7247E-C342-46C2-BC37-BE471142221A}" uniqueName="1" name="Date" queryTableFieldId="1" dataDxfId="1"/>
    <tableColumn id="2" xr3:uid="{67E92B34-17A3-4420-A1E5-9F218B146C90}" uniqueName="2" name="Month" queryTableFieldId="2" dataDxfId="0"/>
    <tableColumn id="3" xr3:uid="{908E8C1F-8743-4DA6-8C09-57FB1AA422C7}" uniqueName="3" name="Month N" queryTableFieldId="3"/>
    <tableColumn id="4" xr3:uid="{6CBF4E8C-EFE2-472B-8CE4-FBCB103901B7}" uniqueName="4" name="Income" queryTableFieldId="4"/>
    <tableColumn id="5" xr3:uid="{524FA61A-10F4-400B-8041-056D28E62001}" uniqueName="5" name="Expenses" queryTableFieldId="5"/>
    <tableColumn id="6" xr3:uid="{4AD397BC-BDE5-49C6-A4AA-0E542AB4C640}" uniqueName="6" name="Non-Fixed Incom" queryTableFieldId="6"/>
    <tableColumn id="7" xr3:uid="{99EDF5DD-E221-4BEF-BCB2-1A67891F7D6C}" uniqueName="7" name="Fixed Incom" queryTableFieldId="7"/>
    <tableColumn id="8" xr3:uid="{7C5194FC-D975-4FC9-8482-467803553DCC}" uniqueName="8" name="Other Income" queryTableFieldId="8"/>
    <tableColumn id="9" xr3:uid="{67F35500-5AB3-4622-8577-8075C66B6D39}" uniqueName="9" name="Non-Fixed Cost" queryTableFieldId="9"/>
    <tableColumn id="10" xr3:uid="{22E60C70-FC00-46B2-A1A3-2AC7037047AE}" uniqueName="10" name="Fixed Costs" queryTableFieldId="10"/>
    <tableColumn id="11" xr3:uid="{B6EE65DD-8324-4B8D-9FC0-AB4ADDFE4204}" uniqueName="11" name="Other Cost" queryTableFieldId="11"/>
    <tableColumn id="12" xr3:uid="{B068940F-5E2F-4F5A-8CB4-88F3A0A704B0}" uniqueName="12" name="Fixed Incom Business" queryTableFieldId="12"/>
    <tableColumn id="13" xr3:uid="{78E13F65-B3F9-4C81-8B62-1AC613B22346}" uniqueName="13" name="Fixed Incom Securities" queryTableFieldId="13"/>
    <tableColumn id="14" xr3:uid="{B9AB7865-75CE-4BFD-BD8A-CCF83F0D0B5A}" uniqueName="14" name="Fixed Incom Real estate" queryTableFieldId="14"/>
    <tableColumn id="15" xr3:uid="{04813F28-3757-4B4C-8139-522720BBF8A8}" uniqueName="15" name="Fixed Incom Gold" queryTableFieldId="15"/>
    <tableColumn id="16" xr3:uid="{0CAA50EC-7490-4A22-99CD-A4C5754AF7E1}" uniqueName="16" name="Fixed Incom Cryptocurrency" queryTableFieldId="16"/>
    <tableColumn id="17" xr3:uid="{41A7B045-E29D-4762-9F35-B5FD87AD0811}" uniqueName="17" name="Loans" queryTableFieldId="17"/>
    <tableColumn id="18" xr3:uid="{4BD3A167-172A-41B4-AB61-CDCE13F26D81}" uniqueName="18" name="Training courses" queryTableFieldId="18"/>
    <tableColumn id="19" xr3:uid="{82325BC8-5A7C-4023-8799-44C2DF1748CB}" uniqueName="19" name="Travel public transport" queryTableFieldId="19"/>
    <tableColumn id="20" xr3:uid="{04C6B8BF-94B3-4AD6-9911-1DFD6E194E40}" uniqueName="20" name="Mobile connection" queryTableFieldId="20"/>
    <tableColumn id="21" xr3:uid="{216CE8C9-A87D-4452-BE0F-56950C35216F}" uniqueName="21" name="Food" queryTableFieldId="21"/>
    <tableColumn id="22" xr3:uid="{D2F3CB97-F6DB-4BCC-958D-283B45D7535A}" uniqueName="22" name="Utility Payments" queryTableFieldId="22"/>
    <tableColumn id="23" xr3:uid="{1A94618B-BB56-416A-AC4C-0D6FDF6819BD}" uniqueName="23" name="Internet &amp; TV" queryTableFieldId="23"/>
    <tableColumn id="24" xr3:uid="{6968F83F-4ED8-4A68-B07C-DA03A5682188}" uniqueName="24" name="Household chemicals" queryTableFieldId="24"/>
    <tableColumn id="25" xr3:uid="{114AEA7B-5DDE-4169-9B4E-6D072F04DC15}" uniqueName="25" name="Furniture &amp; utensils" queryTableFieldId="25"/>
    <tableColumn id="26" xr3:uid="{B2F16E6F-223B-48CB-868F-986C73D9937D}" uniqueName="26" name="BedLinen &amp; tablecloth" queryTableFieldId="26"/>
    <tableColumn id="27" xr3:uid="{B8198DFA-0732-4076-98A4-3B098B0C05F3}" uniqueName="27" name="Cat food" queryTableFieldId="27"/>
    <tableColumn id="28" xr3:uid="{3AA962FF-9F47-4CDB-87A6-E0CE6839013E}" uniqueName="28" name="Clothing &amp; footwear" queryTableFieldId="28"/>
    <tableColumn id="29" xr3:uid="{D999FFFD-1E2C-4297-820F-4B5CD0CCB034}" uniqueName="29" name="Gym" queryTableFieldId="29"/>
    <tableColumn id="30" xr3:uid="{A74F8E0A-8C26-439F-9266-276DF822E0A0}" uniqueName="30" name="Hygiene products" queryTableFieldId="30"/>
    <tableColumn id="31" xr3:uid="{0061ABCC-ABAD-4057-9F13-C3A7F96F49F4}" uniqueName="31" name="Medications" queryTableFieldId="31"/>
    <tableColumn id="32" xr3:uid="{18F89B54-0E17-4131-904D-DB56E33CD1FE}" uniqueName="32" name="Hairdresser" queryTableFieldId="32"/>
    <tableColumn id="33" xr3:uid="{7243916C-C79B-44CF-8689-008B80BC6AD6}" uniqueName="33" name="Cosmetics &amp; perfumery" queryTableFieldId="33"/>
    <tableColumn id="34" xr3:uid="{ECBEFE4A-7637-4670-A238-32B0A9748BA6}" uniqueName="34" name="Fuel" queryTableFieldId="34"/>
    <tableColumn id="35" xr3:uid="{5D5F99AA-A888-472B-982E-E5138D18327E}" uniqueName="35" name="Spare parts" queryTableFieldId="35"/>
    <tableColumn id="36" xr3:uid="{6179F0F5-08DF-40D2-8D0F-A55B283E5AE7}" uniqueName="36" name="Parking" queryTableFieldId="36"/>
    <tableColumn id="37" xr3:uid="{013552AE-E5FE-4DD5-860B-777C88E05214}" uniqueName="37" name="Washing" queryTableFieldId="37"/>
    <tableColumn id="38" xr3:uid="{FE1751F5-88BF-42AA-B781-3A1054A11DBA}" uniqueName="38" name="Insurance" queryTableFieldId="38"/>
    <tableColumn id="39" xr3:uid="{83F63469-99D6-4E74-9341-52AA2252E56B}" uniqueName="39" name="Holidays" queryTableFieldId="39"/>
    <tableColumn id="40" xr3:uid="{E681D550-8D8F-4AE3-AC31-11F82CBF7B83}" uniqueName="40" name="Excursions" queryTableFieldId="40"/>
    <tableColumn id="41" xr3:uid="{7A3AAF37-5010-489A-8429-FD97A0682869}" uniqueName="41" name="Restaurants" queryTableFieldId="41"/>
    <tableColumn id="42" xr3:uid="{A5682788-496F-4017-AC0D-6933A39D83E0}" uniqueName="42" name="Hotels" queryTableFieldId="42"/>
    <tableColumn id="43" xr3:uid="{C547E5A3-EFA8-4766-B453-DBDADFAC4ED2}" uniqueName="43" name="Bags, packages, boxes" queryTableFieldId="43"/>
    <tableColumn id="44" xr3:uid="{7144164E-353F-4C08-98F7-4C6DDD523872}" uniqueName="44" name="Snacks on the way" queryTableFieldId="44"/>
    <tableColumn id="45" xr3:uid="{2DC650FC-A5D8-44BA-BC92-5E77B4F3C251}" uniqueName="45" name="Investments Business" queryTableFieldId="45"/>
    <tableColumn id="46" xr3:uid="{1C9C6CAF-FA98-4658-BFAC-274C18C4C911}" uniqueName="46" name="Investments Securities" queryTableFieldId="46"/>
    <tableColumn id="47" xr3:uid="{1C204688-03F6-4CC6-AFC3-D1AD244D9E40}" uniqueName="47" name="Investments Cryptocurrency" queryTableFieldId="47"/>
    <tableColumn id="48" xr3:uid="{9A85D15A-577E-42C2-B9CA-B63CB8228131}" uniqueName="48" name="Investments Real estate" queryTableFieldId="48"/>
    <tableColumn id="49" xr3:uid="{5BCCC7AD-AE02-445E-8BAD-810980A600E9}" uniqueName="49" name="Investments Gold" queryTableFieldId="49"/>
    <tableColumn id="50" xr3:uid="{38CAAE3F-B16E-4046-AE9C-2379FA904413}" uniqueName="50" name="Mortgage" queryTableFieldId="50"/>
    <tableColumn id="51" xr3:uid="{FB241788-E89D-4B3D-A4C0-4E6B21E6C053}" uniqueName="51" name="Car Leasing" queryTableFieldId="51"/>
    <tableColumn id="52" xr3:uid="{CDEE9A4B-BB67-4289-A834-041E852B74A4}" uniqueName="52" name="Consumer Credit" queryTableFieldId="52"/>
    <tableColumn id="53" xr3:uid="{14F06733-3CDC-4E56-9702-D6328973BAA8}" uniqueName="53" name="Credit Card" queryTableFieldId="53"/>
    <tableColumn id="54" xr3:uid="{A708205C-4E4F-487B-BB61-A747EF54680D}" uniqueName="54" name="Goal 1" queryTableFieldId="54"/>
    <tableColumn id="55" xr3:uid="{7744AA28-DE72-4765-9508-5482E4F376AF}" uniqueName="55" name="Goal 2" queryTableFieldId="55"/>
    <tableColumn id="56" xr3:uid="{683E9FF9-B547-4A90-AD82-18E8DE13E3EE}" uniqueName="56" name="Goal 3" queryTableFieldId="56"/>
    <tableColumn id="57" xr3:uid="{A8D8F476-FB6D-41A1-A0FB-8C7326FF568E}" uniqueName="57" name="Goal 4" queryTableFieldId="57"/>
    <tableColumn id="58" xr3:uid="{F76C5E4A-CCCF-4CAE-9015-90464AB869C8}" uniqueName="58" name="Monthly Plan" queryTableFieldId="58"/>
    <tableColumn id="59" xr3:uid="{F80F65D7-BA82-4131-8A36-FB7CE48D00F1}" uniqueName="59" name="Balance" queryTableFieldId="5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16AE7BF-97D3-4697-94C9-9820A0E39639}">
  <we:reference id="wa200010725" version="1.0.0.1" store="en-US" storeType="OMEX"/>
  <we:alternateReferences>
    <we:reference id="wa200010725" version="1.0.0.1" store="wa200010725" storeType="OMEX"/>
  </we:alternateReferences>
  <we:properties>
    <we:property name="claude.fileId" value="&quot;9e35d9a2-ebb1-4cba-bff8-2916bfdc7ff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33C0-6FB7-41AB-9905-9DA6C1B2DE48}">
  <sheetPr codeName="Sheet1"/>
  <dimension ref="A1:AA14"/>
  <sheetViews>
    <sheetView showGridLines="0" showRowColHeaders="0" tabSelected="1" zoomScale="80" zoomScaleNormal="80" workbookViewId="0">
      <extLst>
        <ext xmlns:xlsdti="http://schemas.microsoft.com/office/spreadsheetml/2023/showDataTypeIcons" uri="{77bfe23e-c014-4d31-8a63-9c772dbf06b6}">
          <xlsdti:showDataTypeIcons visible="0"/>
        </ext>
      </extLst>
    </sheetView>
  </sheetViews>
  <sheetFormatPr defaultColWidth="8.77734375" defaultRowHeight="14.4" x14ac:dyDescent="0.3"/>
  <cols>
    <col min="1" max="16384" width="8.77734375" style="1"/>
  </cols>
  <sheetData>
    <row r="1" spans="1:27" x14ac:dyDescent="0.3">
      <c r="B1" s="1" t="s">
        <v>0</v>
      </c>
    </row>
    <row r="5" spans="1:27" x14ac:dyDescent="0.3">
      <c r="C5" s="11"/>
    </row>
    <row r="8" spans="1:27" x14ac:dyDescent="0.3">
      <c r="D8" s="14"/>
    </row>
    <row r="9" spans="1:27" x14ac:dyDescent="0.3">
      <c r="A9" s="24"/>
      <c r="AA9" s="1">
        <v>4</v>
      </c>
    </row>
    <row r="10" spans="1:27" x14ac:dyDescent="0.3">
      <c r="B10" s="14"/>
    </row>
    <row r="14" spans="1:27" x14ac:dyDescent="0.3">
      <c r="F14" s="1"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A0C0E-B044-4747-BADE-29B47F0D0647}">
  <sheetPr codeName="Sheet6"/>
  <dimension ref="A5:AA14"/>
  <sheetViews>
    <sheetView showGridLines="0" showRowColHeaders="0" zoomScale="90" zoomScaleNormal="90" workbookViewId="0"/>
  </sheetViews>
  <sheetFormatPr defaultColWidth="8.77734375" defaultRowHeight="14.4" x14ac:dyDescent="0.3"/>
  <cols>
    <col min="1" max="16384" width="8.77734375" style="1"/>
  </cols>
  <sheetData>
    <row r="5" spans="1:27" x14ac:dyDescent="0.3">
      <c r="C5" s="11"/>
    </row>
    <row r="8" spans="1:27" x14ac:dyDescent="0.3">
      <c r="D8" s="14"/>
    </row>
    <row r="9" spans="1:27" x14ac:dyDescent="0.3">
      <c r="A9" s="24"/>
      <c r="AA9" s="1">
        <v>4</v>
      </c>
    </row>
    <row r="10" spans="1:27" x14ac:dyDescent="0.3">
      <c r="B10" s="14"/>
    </row>
    <row r="14" spans="1:27" x14ac:dyDescent="0.3">
      <c r="F14" s="1"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7C110-D8E7-49BB-88A7-FB170BCA6E42}">
  <sheetPr codeName="Sheet9"/>
  <dimension ref="A1:AA14"/>
  <sheetViews>
    <sheetView showGridLines="0" showRowColHeaders="0" topLeftCell="A4" zoomScale="90" zoomScaleNormal="90" workbookViewId="0"/>
  </sheetViews>
  <sheetFormatPr defaultColWidth="8.77734375" defaultRowHeight="14.4" x14ac:dyDescent="0.3"/>
  <cols>
    <col min="1" max="16384" width="8.77734375" style="1"/>
  </cols>
  <sheetData>
    <row r="1" spans="1:27" x14ac:dyDescent="0.3">
      <c r="B1" s="1" t="s">
        <v>0</v>
      </c>
    </row>
    <row r="5" spans="1:27" x14ac:dyDescent="0.3">
      <c r="C5" s="11"/>
    </row>
    <row r="8" spans="1:27" x14ac:dyDescent="0.3">
      <c r="D8" s="14"/>
    </row>
    <row r="9" spans="1:27" x14ac:dyDescent="0.3">
      <c r="A9" s="24"/>
      <c r="AA9" s="1">
        <v>4</v>
      </c>
    </row>
    <row r="10" spans="1:27" x14ac:dyDescent="0.3">
      <c r="B10" s="14"/>
    </row>
    <row r="14" spans="1:27" x14ac:dyDescent="0.3">
      <c r="F14" s="1"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CF82B-9DF5-45E7-B256-558307D97F82}">
  <sheetPr codeName="Sheet10"/>
  <dimension ref="A1:AA14"/>
  <sheetViews>
    <sheetView showGridLines="0" showRowColHeaders="0" topLeftCell="A9" zoomScale="90" zoomScaleNormal="90" workbookViewId="0"/>
  </sheetViews>
  <sheetFormatPr defaultColWidth="8.77734375" defaultRowHeight="14.4" x14ac:dyDescent="0.3"/>
  <cols>
    <col min="1" max="16384" width="8.77734375" style="1"/>
  </cols>
  <sheetData>
    <row r="1" spans="1:27" x14ac:dyDescent="0.3">
      <c r="B1" s="1" t="s">
        <v>0</v>
      </c>
    </row>
    <row r="5" spans="1:27" x14ac:dyDescent="0.3">
      <c r="C5" s="11"/>
    </row>
    <row r="8" spans="1:27" x14ac:dyDescent="0.3">
      <c r="D8" s="14"/>
    </row>
    <row r="9" spans="1:27" x14ac:dyDescent="0.3">
      <c r="A9" s="24"/>
      <c r="AA9" s="1">
        <v>4</v>
      </c>
    </row>
    <row r="10" spans="1:27" x14ac:dyDescent="0.3">
      <c r="B10" s="14"/>
    </row>
    <row r="14" spans="1:27" x14ac:dyDescent="0.3">
      <c r="F14" s="1"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480DC-B775-47E8-8BA8-D6A4629991B1}">
  <sheetPr codeName="Sheet11"/>
  <dimension ref="A1:AA14"/>
  <sheetViews>
    <sheetView showGridLines="0" showRowColHeaders="0" topLeftCell="B2" zoomScale="90" zoomScaleNormal="90" workbookViewId="0"/>
  </sheetViews>
  <sheetFormatPr defaultColWidth="8.77734375" defaultRowHeight="14.4" x14ac:dyDescent="0.3"/>
  <cols>
    <col min="1" max="16384" width="8.77734375" style="1"/>
  </cols>
  <sheetData>
    <row r="1" spans="1:27" x14ac:dyDescent="0.3">
      <c r="B1" s="1" t="s">
        <v>0</v>
      </c>
    </row>
    <row r="5" spans="1:27" x14ac:dyDescent="0.3">
      <c r="C5" s="11"/>
    </row>
    <row r="8" spans="1:27" x14ac:dyDescent="0.3">
      <c r="D8" s="14"/>
    </row>
    <row r="9" spans="1:27" x14ac:dyDescent="0.3">
      <c r="A9" s="24"/>
      <c r="AA9" s="1">
        <v>4</v>
      </c>
    </row>
    <row r="14" spans="1:27" x14ac:dyDescent="0.3">
      <c r="F14" s="1"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07653-64EA-4AA0-B582-4B6D28019C4E}">
  <sheetPr codeName="Sheet2"/>
  <dimension ref="A1:R47"/>
  <sheetViews>
    <sheetView topLeftCell="A4" zoomScale="60" zoomScaleNormal="60" workbookViewId="0">
      <selection activeCell="Q23" sqref="Q23"/>
    </sheetView>
  </sheetViews>
  <sheetFormatPr defaultColWidth="8.77734375" defaultRowHeight="14.4" x14ac:dyDescent="0.3"/>
  <cols>
    <col min="1" max="1" width="14.44140625" style="10" bestFit="1" customWidth="1"/>
    <col min="2" max="2" width="8.88671875" style="10" bestFit="1" customWidth="1"/>
    <col min="3" max="3" width="8.77734375" style="10"/>
    <col min="4" max="4" width="13.88671875" style="10" bestFit="1" customWidth="1"/>
    <col min="5" max="5" width="8.77734375" style="10"/>
    <col min="6" max="6" width="23.77734375" style="10" bestFit="1" customWidth="1"/>
    <col min="7" max="12" width="8.77734375" style="10"/>
    <col min="13" max="13" width="14.77734375" style="10" bestFit="1" customWidth="1"/>
    <col min="14" max="14" width="9.88671875" style="10" bestFit="1" customWidth="1"/>
    <col min="15" max="16384" width="8.77734375" style="10"/>
  </cols>
  <sheetData>
    <row r="1" spans="1:16" x14ac:dyDescent="0.3">
      <c r="A1" s="7" t="s">
        <v>2</v>
      </c>
      <c r="B1" s="9" t="s">
        <v>76</v>
      </c>
      <c r="C1" s="9" t="s">
        <v>77</v>
      </c>
      <c r="D1" s="4" t="s">
        <v>4</v>
      </c>
      <c r="E1" s="4" t="s">
        <v>5</v>
      </c>
      <c r="F1" s="9" t="s">
        <v>89</v>
      </c>
      <c r="G1" s="10" t="s">
        <v>78</v>
      </c>
      <c r="H1" s="10" t="s">
        <v>79</v>
      </c>
      <c r="I1" s="10" t="s">
        <v>80</v>
      </c>
      <c r="J1" s="10" t="s">
        <v>81</v>
      </c>
      <c r="K1" s="7" t="s">
        <v>2</v>
      </c>
      <c r="L1" s="10" t="s">
        <v>92</v>
      </c>
      <c r="M1" s="10" t="s">
        <v>93</v>
      </c>
      <c r="O1" s="19" t="s">
        <v>76</v>
      </c>
      <c r="P1" s="19" t="s">
        <v>94</v>
      </c>
    </row>
    <row r="2" spans="1:16" x14ac:dyDescent="0.3">
      <c r="A2" s="8" t="s">
        <v>60</v>
      </c>
      <c r="B2" s="10" t="str">
        <f>LEFT(A2,3)</f>
        <v>JAN</v>
      </c>
      <c r="C2" s="10">
        <f>$C$14</f>
        <v>1394.8</v>
      </c>
      <c r="D2" s="10">
        <f>GETPIVOTDATA(""&amp;D$1,Control!$A$20,"Month",""&amp;$A2)</f>
        <v>17800</v>
      </c>
      <c r="E2" s="10">
        <f>GETPIVOTDATA(""&amp;E$1,Control!$A$20,"Month",""&amp;$A2)</f>
        <v>18904</v>
      </c>
      <c r="F2" s="10">
        <f>C2</f>
        <v>1394.8</v>
      </c>
      <c r="G2" s="10">
        <f>IFERROR(GETPIVOTDATA(""&amp;D$1,Control!$A$3,"Month",""&amp;$A2),(NA()))</f>
        <v>17800</v>
      </c>
      <c r="H2" s="10">
        <f>IFERROR(GETPIVOTDATA(""&amp;E$1,Control!$A$3,"Month",""&amp;$A2),(NA()))</f>
        <v>18904</v>
      </c>
      <c r="I2" s="10">
        <f>C2+G2</f>
        <v>19194.8</v>
      </c>
      <c r="J2" s="10" t="str">
        <f>IF(G2&gt;=1000,TEXT(ROUND(G2/1000,0),"0k"),G2)</f>
        <v>18k</v>
      </c>
      <c r="K2" s="10">
        <f>GETPIVOTDATA("Max of Month N",Control!$A$3)</f>
        <v>1</v>
      </c>
      <c r="L2" s="16">
        <f>D2/SUM(D2:E2)</f>
        <v>0.48496076721883175</v>
      </c>
      <c r="M2" s="16" cm="1">
        <f t="array" ref="M2">INDEX(L2:L13,K2)</f>
        <v>0.48496076721883175</v>
      </c>
      <c r="N2" s="18">
        <f>1-M2</f>
        <v>0.51503923278116825</v>
      </c>
      <c r="O2" s="19">
        <v>0</v>
      </c>
      <c r="P2" s="19">
        <v>1</v>
      </c>
    </row>
    <row r="3" spans="1:16" x14ac:dyDescent="0.3">
      <c r="A3" s="8" t="s">
        <v>61</v>
      </c>
      <c r="B3" s="10" t="str">
        <f t="shared" ref="B3:B13" si="0">LEFT(A3,3)</f>
        <v>FEB</v>
      </c>
      <c r="C3" s="10">
        <f t="shared" ref="C3:C13" si="1">$C$14</f>
        <v>1394.8</v>
      </c>
      <c r="D3" s="10">
        <f>GETPIVOTDATA(""&amp;D$1,Control!$A$20,"Month",""&amp;$A3)</f>
        <v>18080</v>
      </c>
      <c r="E3" s="10">
        <f>GETPIVOTDATA(""&amp;E$1,Control!$A$20,"Month",""&amp;$A3)</f>
        <v>18279</v>
      </c>
      <c r="F3" s="10">
        <f t="shared" ref="F3:F13" si="2">C3</f>
        <v>1394.8</v>
      </c>
      <c r="G3" s="10" t="e">
        <f>IFERROR(GETPIVOTDATA(""&amp;D$1,Control!$A$3,"Month",""&amp;$A3),(NA()))</f>
        <v>#N/A</v>
      </c>
      <c r="H3" s="10" t="e">
        <f>IFERROR(GETPIVOTDATA(""&amp;E$1,Control!$A$3,"Month",""&amp;$A3),(NA()))</f>
        <v>#N/A</v>
      </c>
      <c r="I3" s="10" t="e">
        <f t="shared" ref="I3:I13" si="3">C3+G3</f>
        <v>#N/A</v>
      </c>
      <c r="J3" s="10" t="e">
        <f t="shared" ref="J3:J13" si="4">IF(G3&gt;=1000,TEXT(ROUND(G3/1000,0),"0k"),G3)</f>
        <v>#N/A</v>
      </c>
      <c r="L3" s="16">
        <f t="shared" ref="L3:M13" si="5">D3/SUM(D3:E3)</f>
        <v>0.49726340108363815</v>
      </c>
      <c r="M3" s="17"/>
      <c r="O3" s="20">
        <f>SIN(M2*2*PI())</f>
        <v>9.4353723284894345E-2</v>
      </c>
      <c r="P3" s="19">
        <f>COS(N2*2*PI())</f>
        <v>-0.99553873601295773</v>
      </c>
    </row>
    <row r="4" spans="1:16" x14ac:dyDescent="0.3">
      <c r="A4" s="8" t="s">
        <v>62</v>
      </c>
      <c r="B4" s="10" t="str">
        <f t="shared" si="0"/>
        <v>MAR</v>
      </c>
      <c r="C4" s="10">
        <f t="shared" si="1"/>
        <v>1394.8</v>
      </c>
      <c r="D4" s="10">
        <f>GETPIVOTDATA(""&amp;D$1,Control!$A$20,"Month",""&amp;$A4)</f>
        <v>20857</v>
      </c>
      <c r="E4" s="10">
        <f>GETPIVOTDATA(""&amp;E$1,Control!$A$20,"Month",""&amp;$A4)</f>
        <v>20177</v>
      </c>
      <c r="F4" s="10">
        <f t="shared" si="2"/>
        <v>1394.8</v>
      </c>
      <c r="G4" s="10" t="e">
        <f>IFERROR(GETPIVOTDATA(""&amp;D$1,Control!$A$3,"Month",""&amp;$A4),(NA()))</f>
        <v>#N/A</v>
      </c>
      <c r="H4" s="10" t="e">
        <f>IFERROR(GETPIVOTDATA(""&amp;E$1,Control!$A$3,"Month",""&amp;$A4),(NA()))</f>
        <v>#N/A</v>
      </c>
      <c r="I4" s="10" t="e">
        <f t="shared" si="3"/>
        <v>#N/A</v>
      </c>
      <c r="J4" s="10" t="e">
        <f t="shared" si="4"/>
        <v>#N/A</v>
      </c>
      <c r="L4" s="16">
        <f t="shared" si="5"/>
        <v>0.50828581176585275</v>
      </c>
    </row>
    <row r="5" spans="1:16" x14ac:dyDescent="0.3">
      <c r="A5" s="8" t="s">
        <v>63</v>
      </c>
      <c r="B5" s="10" t="str">
        <f t="shared" si="0"/>
        <v>APR</v>
      </c>
      <c r="C5" s="10">
        <f t="shared" si="1"/>
        <v>1394.8</v>
      </c>
      <c r="D5" s="10">
        <f>GETPIVOTDATA(""&amp;D$1,Control!$A$20,"Month",""&amp;$A5)</f>
        <v>21688</v>
      </c>
      <c r="E5" s="10">
        <f>GETPIVOTDATA(""&amp;E$1,Control!$A$20,"Month",""&amp;$A5)</f>
        <v>20154</v>
      </c>
      <c r="F5" s="10">
        <f t="shared" si="2"/>
        <v>1394.8</v>
      </c>
      <c r="G5" s="10" t="e">
        <f>IFERROR(GETPIVOTDATA(""&amp;D$1,Control!$A$3,"Month",""&amp;$A5),(NA()))</f>
        <v>#N/A</v>
      </c>
      <c r="H5" s="10" t="e">
        <f>IFERROR(GETPIVOTDATA(""&amp;E$1,Control!$A$3,"Month",""&amp;$A5),(NA()))</f>
        <v>#N/A</v>
      </c>
      <c r="I5" s="10" t="e">
        <f t="shared" si="3"/>
        <v>#N/A</v>
      </c>
      <c r="J5" s="10" t="e">
        <f t="shared" si="4"/>
        <v>#N/A</v>
      </c>
      <c r="K5" s="10" t="s">
        <v>59</v>
      </c>
      <c r="L5" s="16">
        <f t="shared" si="5"/>
        <v>0.51833086372544335</v>
      </c>
    </row>
    <row r="6" spans="1:16" x14ac:dyDescent="0.3">
      <c r="A6" s="8" t="s">
        <v>64</v>
      </c>
      <c r="B6" s="10" t="str">
        <f t="shared" si="0"/>
        <v>MAY</v>
      </c>
      <c r="C6" s="10">
        <f t="shared" si="1"/>
        <v>1394.8</v>
      </c>
      <c r="D6" s="10">
        <f>GETPIVOTDATA(""&amp;D$1,Control!$A$20,"Month",""&amp;$A6)</f>
        <v>23965</v>
      </c>
      <c r="E6" s="10">
        <f>GETPIVOTDATA(""&amp;E$1,Control!$A$20,"Month",""&amp;$A6)</f>
        <v>21472</v>
      </c>
      <c r="F6" s="10">
        <f t="shared" si="2"/>
        <v>1394.8</v>
      </c>
      <c r="G6" s="10" t="e">
        <f>IFERROR(GETPIVOTDATA(""&amp;D$1,Control!$A$3,"Month",""&amp;$A6),(NA()))</f>
        <v>#N/A</v>
      </c>
      <c r="H6" s="10" t="e">
        <f>IFERROR(GETPIVOTDATA(""&amp;E$1,Control!$A$3,"Month",""&amp;$A6),(NA()))</f>
        <v>#N/A</v>
      </c>
      <c r="I6" s="10" t="e">
        <f t="shared" si="3"/>
        <v>#N/A</v>
      </c>
      <c r="J6" s="10" t="e">
        <f t="shared" si="4"/>
        <v>#N/A</v>
      </c>
      <c r="K6" s="15">
        <f>GETPIVOTDATA("Average of Balance",Control!$A$3)</f>
        <v>3980.3870967741937</v>
      </c>
      <c r="L6" s="16">
        <f t="shared" si="5"/>
        <v>0.52743358936549511</v>
      </c>
      <c r="N6" s="15"/>
    </row>
    <row r="7" spans="1:16" x14ac:dyDescent="0.3">
      <c r="A7" s="8" t="s">
        <v>65</v>
      </c>
      <c r="B7" s="10" t="str">
        <f t="shared" si="0"/>
        <v>JUN</v>
      </c>
      <c r="C7" s="10">
        <f t="shared" si="1"/>
        <v>1394.8</v>
      </c>
      <c r="D7" s="10">
        <f>GETPIVOTDATA(""&amp;D$1,Control!$A$20,"Month",""&amp;$A7)</f>
        <v>24696</v>
      </c>
      <c r="E7" s="10">
        <f>GETPIVOTDATA(""&amp;E$1,Control!$A$20,"Month",""&amp;$A7)</f>
        <v>21406</v>
      </c>
      <c r="F7" s="10">
        <f t="shared" si="2"/>
        <v>1394.8</v>
      </c>
      <c r="G7" s="10" t="e">
        <f>IFERROR(GETPIVOTDATA(""&amp;D$1,Control!$A$3,"Month",""&amp;$A7),(NA()))</f>
        <v>#N/A</v>
      </c>
      <c r="H7" s="10" t="e">
        <f>IFERROR(GETPIVOTDATA(""&amp;E$1,Control!$A$3,"Month",""&amp;$A7),(NA()))</f>
        <v>#N/A</v>
      </c>
      <c r="I7" s="10" t="e">
        <f t="shared" si="3"/>
        <v>#N/A</v>
      </c>
      <c r="J7" s="10" t="e">
        <f t="shared" si="4"/>
        <v>#N/A</v>
      </c>
      <c r="L7" s="16">
        <f t="shared" si="5"/>
        <v>0.53568174916489519</v>
      </c>
    </row>
    <row r="8" spans="1:16" x14ac:dyDescent="0.3">
      <c r="A8" s="8" t="s">
        <v>66</v>
      </c>
      <c r="B8" s="10" t="str">
        <f t="shared" si="0"/>
        <v>JUL</v>
      </c>
      <c r="C8" s="10">
        <f t="shared" si="1"/>
        <v>1394.8</v>
      </c>
      <c r="D8" s="10">
        <f>GETPIVOTDATA(""&amp;D$1,Control!$A$20,"Month",""&amp;$A8)</f>
        <v>27073</v>
      </c>
      <c r="E8" s="10">
        <f>GETPIVOTDATA(""&amp;E$1,Control!$A$20,"Month",""&amp;$A8)</f>
        <v>22768</v>
      </c>
      <c r="F8" s="10">
        <f t="shared" si="2"/>
        <v>1394.8</v>
      </c>
      <c r="G8" s="10" t="e">
        <f>IFERROR(GETPIVOTDATA(""&amp;D$1,Control!$A$3,"Month",""&amp;$A8),(NA()))</f>
        <v>#N/A</v>
      </c>
      <c r="H8" s="10" t="e">
        <f>IFERROR(GETPIVOTDATA(""&amp;E$1,Control!$A$3,"Month",""&amp;$A8),(NA()))</f>
        <v>#N/A</v>
      </c>
      <c r="I8" s="10" t="e">
        <f t="shared" si="3"/>
        <v>#N/A</v>
      </c>
      <c r="J8" s="10" t="e">
        <f t="shared" si="4"/>
        <v>#N/A</v>
      </c>
      <c r="L8" s="16">
        <f t="shared" si="5"/>
        <v>0.5431873357276138</v>
      </c>
    </row>
    <row r="9" spans="1:16" x14ac:dyDescent="0.3">
      <c r="A9" s="8" t="s">
        <v>67</v>
      </c>
      <c r="B9" s="10" t="str">
        <f t="shared" si="0"/>
        <v>AUG</v>
      </c>
      <c r="C9" s="10">
        <f t="shared" si="1"/>
        <v>1394.8</v>
      </c>
      <c r="D9" s="10">
        <f>GETPIVOTDATA(""&amp;D$1,Control!$A$20,"Month",""&amp;$A9)</f>
        <v>28654</v>
      </c>
      <c r="E9" s="10">
        <f>GETPIVOTDATA(""&amp;E$1,Control!$A$20,"Month",""&amp;$A9)</f>
        <v>23426</v>
      </c>
      <c r="F9" s="10">
        <f t="shared" si="2"/>
        <v>1394.8</v>
      </c>
      <c r="G9" s="10" t="e">
        <f>IFERROR(GETPIVOTDATA(""&amp;D$1,Control!$A$3,"Month",""&amp;$A9),(NA()))</f>
        <v>#N/A</v>
      </c>
      <c r="H9" s="10" t="e">
        <f>IFERROR(GETPIVOTDATA(""&amp;E$1,Control!$A$3,"Month",""&amp;$A9),(NA()))</f>
        <v>#N/A</v>
      </c>
      <c r="I9" s="10" t="e">
        <f t="shared" si="3"/>
        <v>#N/A</v>
      </c>
      <c r="J9" s="10" t="e">
        <f t="shared" si="4"/>
        <v>#N/A</v>
      </c>
      <c r="L9" s="16">
        <f t="shared" si="5"/>
        <v>0.55019201228878645</v>
      </c>
    </row>
    <row r="10" spans="1:16" x14ac:dyDescent="0.3">
      <c r="A10" s="8" t="s">
        <v>68</v>
      </c>
      <c r="B10" s="10" t="str">
        <f t="shared" si="0"/>
        <v>SEP</v>
      </c>
      <c r="C10" s="10">
        <f t="shared" si="1"/>
        <v>1394.8</v>
      </c>
      <c r="D10" s="10">
        <f>GETPIVOTDATA(""&amp;D$1,Control!$A$20,"Month",""&amp;$A10)</f>
        <v>29233</v>
      </c>
      <c r="E10" s="10">
        <f>GETPIVOTDATA(""&amp;E$1,Control!$A$20,"Month",""&amp;$A10)</f>
        <v>23296</v>
      </c>
      <c r="F10" s="10">
        <f t="shared" si="2"/>
        <v>1394.8</v>
      </c>
      <c r="G10" s="10" t="e">
        <f>IFERROR(GETPIVOTDATA(""&amp;D$1,Control!$A$3,"Month",""&amp;$A10),(NA()))</f>
        <v>#N/A</v>
      </c>
      <c r="H10" s="10" t="e">
        <f>IFERROR(GETPIVOTDATA(""&amp;E$1,Control!$A$3,"Month",""&amp;$A10),(NA()))</f>
        <v>#N/A</v>
      </c>
      <c r="I10" s="10" t="e">
        <f t="shared" si="3"/>
        <v>#N/A</v>
      </c>
      <c r="J10" s="10" t="e">
        <f t="shared" si="4"/>
        <v>#N/A</v>
      </c>
      <c r="L10" s="16">
        <f t="shared" si="5"/>
        <v>0.55651164118867669</v>
      </c>
    </row>
    <row r="11" spans="1:16" x14ac:dyDescent="0.3">
      <c r="A11" s="8" t="s">
        <v>69</v>
      </c>
      <c r="B11" s="10" t="str">
        <f t="shared" si="0"/>
        <v>OCT</v>
      </c>
      <c r="C11" s="10">
        <f t="shared" si="1"/>
        <v>1394.8</v>
      </c>
      <c r="D11" s="10">
        <f>GETPIVOTDATA(""&amp;D$1,Control!$A$20,"Month",""&amp;$A11)</f>
        <v>31762</v>
      </c>
      <c r="E11" s="10">
        <f>GETPIVOTDATA(""&amp;E$1,Control!$A$20,"Month",""&amp;$A11)</f>
        <v>24722</v>
      </c>
      <c r="F11" s="10">
        <f t="shared" si="2"/>
        <v>1394.8</v>
      </c>
      <c r="G11" s="10" t="e">
        <f>IFERROR(GETPIVOTDATA(""&amp;D$1,Control!$A$3,"Month",""&amp;$A11),(NA()))</f>
        <v>#N/A</v>
      </c>
      <c r="H11" s="10" t="e">
        <f>IFERROR(GETPIVOTDATA(""&amp;E$1,Control!$A$3,"Month",""&amp;$A11),(NA()))</f>
        <v>#N/A</v>
      </c>
      <c r="I11" s="10" t="e">
        <f t="shared" si="3"/>
        <v>#N/A</v>
      </c>
      <c r="J11" s="10" t="e">
        <f t="shared" si="4"/>
        <v>#N/A</v>
      </c>
      <c r="L11" s="16">
        <f t="shared" si="5"/>
        <v>0.56231853268182141</v>
      </c>
    </row>
    <row r="12" spans="1:16" x14ac:dyDescent="0.3">
      <c r="A12" s="8" t="s">
        <v>70</v>
      </c>
      <c r="B12" s="10" t="str">
        <f t="shared" si="0"/>
        <v>NOV</v>
      </c>
      <c r="C12" s="10">
        <f t="shared" si="1"/>
        <v>1394.8</v>
      </c>
      <c r="D12" s="10">
        <f>GETPIVOTDATA(""&amp;D$1,Control!$A$20,"Month",""&amp;$A12)</f>
        <v>32242</v>
      </c>
      <c r="E12" s="10">
        <f>GETPIVOTDATA(""&amp;E$1,Control!$A$20,"Month",""&amp;$A12)</f>
        <v>24550</v>
      </c>
      <c r="F12" s="10">
        <f t="shared" si="2"/>
        <v>1394.8</v>
      </c>
      <c r="G12" s="10" t="e">
        <f>IFERROR(GETPIVOTDATA(""&amp;D$1,Control!$A$3,"Month",""&amp;$A12),(NA()))</f>
        <v>#N/A</v>
      </c>
      <c r="H12" s="10" t="e">
        <f>IFERROR(GETPIVOTDATA(""&amp;E$1,Control!$A$3,"Month",""&amp;$A12),(NA()))</f>
        <v>#N/A</v>
      </c>
      <c r="I12" s="10" t="e">
        <f t="shared" si="3"/>
        <v>#N/A</v>
      </c>
      <c r="J12" s="10" t="e">
        <f t="shared" si="4"/>
        <v>#N/A</v>
      </c>
      <c r="L12" s="16">
        <f t="shared" si="5"/>
        <v>0.56772080574728834</v>
      </c>
    </row>
    <row r="13" spans="1:16" x14ac:dyDescent="0.3">
      <c r="A13" s="8" t="s">
        <v>71</v>
      </c>
      <c r="B13" s="10" t="str">
        <f t="shared" si="0"/>
        <v>DEC</v>
      </c>
      <c r="C13" s="10">
        <f t="shared" si="1"/>
        <v>1394.8</v>
      </c>
      <c r="D13" s="10">
        <f>GETPIVOTDATA(""&amp;D$1,Control!$A$20,"Month",""&amp;$A13)</f>
        <v>34870</v>
      </c>
      <c r="E13" s="10">
        <f>GETPIVOTDATA(""&amp;E$1,Control!$A$20,"Month",""&amp;$A13)</f>
        <v>26016</v>
      </c>
      <c r="F13" s="10">
        <f t="shared" si="2"/>
        <v>1394.8</v>
      </c>
      <c r="G13" s="10" t="e">
        <f>IFERROR(GETPIVOTDATA(""&amp;D$1,Control!$A$3,"Month",""&amp;$A13),(NA()))</f>
        <v>#N/A</v>
      </c>
      <c r="H13" s="10" t="e">
        <f>IFERROR(GETPIVOTDATA(""&amp;E$1,Control!$A$3,"Month",""&amp;$A13),(NA()))</f>
        <v>#N/A</v>
      </c>
      <c r="I13" s="10" t="e">
        <f t="shared" si="3"/>
        <v>#N/A</v>
      </c>
      <c r="J13" s="10" t="e">
        <f t="shared" si="4"/>
        <v>#N/A</v>
      </c>
      <c r="L13" s="16">
        <f t="shared" si="5"/>
        <v>0.5727096541076766</v>
      </c>
      <c r="M13" s="16">
        <f t="shared" si="5"/>
        <v>0.9491149473929984</v>
      </c>
    </row>
    <row r="14" spans="1:16" x14ac:dyDescent="0.3">
      <c r="C14" s="9">
        <f>MAX(D2:E13)*4%</f>
        <v>1394.8</v>
      </c>
      <c r="D14" s="15">
        <f>GETPIVOTDATA("Sum of Income",Control!$A$3)</f>
        <v>17800</v>
      </c>
      <c r="E14" s="15">
        <f>GETPIVOTDATA("Sum of Expenses",Control!$A$3)</f>
        <v>18904</v>
      </c>
      <c r="L14" s="16"/>
    </row>
    <row r="15" spans="1:16" x14ac:dyDescent="0.3">
      <c r="D15" s="15"/>
      <c r="M15" s="10" t="s">
        <v>135</v>
      </c>
      <c r="N15" s="10" t="s">
        <v>134</v>
      </c>
    </row>
    <row r="16" spans="1:16" x14ac:dyDescent="0.3">
      <c r="A16" s="10" t="s">
        <v>120</v>
      </c>
      <c r="B16" s="15">
        <f>B17-A27</f>
        <v>281096</v>
      </c>
      <c r="M16" s="10" t="s">
        <v>50</v>
      </c>
      <c r="N16" s="27">
        <v>0.03</v>
      </c>
      <c r="O16" s="28">
        <f>GETPIVOTDATA(""&amp;M16,Control!$A$3)</f>
        <v>27.35483870967742</v>
      </c>
    </row>
    <row r="17" spans="1:18" x14ac:dyDescent="0.3">
      <c r="A17" s="10" t="s">
        <v>99</v>
      </c>
      <c r="B17" s="15">
        <v>300000</v>
      </c>
      <c r="E17" s="10" t="s">
        <v>109</v>
      </c>
      <c r="M17" s="10" t="s">
        <v>51</v>
      </c>
      <c r="N17" s="27">
        <v>0.1</v>
      </c>
      <c r="O17" s="28">
        <f>GETPIVOTDATA(""&amp;M17,Control!$A$3)</f>
        <v>19</v>
      </c>
    </row>
    <row r="18" spans="1:18" x14ac:dyDescent="0.3">
      <c r="A18" s="10" t="s">
        <v>6</v>
      </c>
      <c r="B18" s="15">
        <f>GETPIVOTDATA(""&amp;A18,Control!$A$3)</f>
        <v>811</v>
      </c>
      <c r="C18" s="16">
        <f>B18/SUM($B$24:$B$25)</f>
        <v>0.1820835204310732</v>
      </c>
      <c r="E18" s="21" cm="1">
        <f t="array" ref="E18:J18">TRANSPOSE(C18:C23)</f>
        <v>0.1820835204310732</v>
      </c>
      <c r="F18" s="21">
        <v>0.1546924113156713</v>
      </c>
      <c r="G18" s="21">
        <v>0.18230803771890436</v>
      </c>
      <c r="H18" s="21">
        <v>0.17220475976650201</v>
      </c>
      <c r="I18" s="21">
        <v>0.15087561742254155</v>
      </c>
      <c r="J18" s="21">
        <v>0.15783565334530758</v>
      </c>
      <c r="M18" s="10" t="s">
        <v>52</v>
      </c>
      <c r="N18" s="27">
        <v>0.05</v>
      </c>
      <c r="O18" s="28">
        <f>GETPIVOTDATA(""&amp;M18,Control!$A$3)</f>
        <v>22.741935483870968</v>
      </c>
    </row>
    <row r="19" spans="1:18" customFormat="1" x14ac:dyDescent="0.3">
      <c r="A19" s="10" t="s">
        <v>7</v>
      </c>
      <c r="B19" s="15">
        <f>GETPIVOTDATA(""&amp;A19,Control!$A$3)</f>
        <v>689</v>
      </c>
      <c r="C19" s="16">
        <f t="shared" ref="C19:C23" si="6">B19/SUM($B$24:$B$25)</f>
        <v>0.1546924113156713</v>
      </c>
      <c r="E19" s="22">
        <f>E18</f>
        <v>0.1820835204310732</v>
      </c>
      <c r="F19" s="22">
        <f t="shared" ref="F19:J20" si="7">F18</f>
        <v>0.1546924113156713</v>
      </c>
      <c r="G19" s="22">
        <f t="shared" si="7"/>
        <v>0.18230803771890436</v>
      </c>
      <c r="H19" s="22">
        <f t="shared" si="7"/>
        <v>0.17220475976650201</v>
      </c>
      <c r="I19" s="22">
        <f t="shared" si="7"/>
        <v>0.15087561742254155</v>
      </c>
      <c r="J19" s="22">
        <f t="shared" si="7"/>
        <v>0.15783565334530758</v>
      </c>
      <c r="M19" t="s">
        <v>53</v>
      </c>
      <c r="N19" s="27">
        <v>7.0000000000000007E-2</v>
      </c>
      <c r="O19" s="28">
        <f>GETPIVOTDATA(""&amp;M19,Control!$A$3)</f>
        <v>26.322580645161292</v>
      </c>
    </row>
    <row r="20" spans="1:18" x14ac:dyDescent="0.3">
      <c r="A20" s="10" t="s">
        <v>8</v>
      </c>
      <c r="B20" s="15">
        <f>GETPIVOTDATA(""&amp;A20,Control!$A$3)</f>
        <v>812</v>
      </c>
      <c r="C20" s="16">
        <f t="shared" si="6"/>
        <v>0.18230803771890436</v>
      </c>
      <c r="E20" s="22">
        <f>E19</f>
        <v>0.1820835204310732</v>
      </c>
      <c r="F20" s="22">
        <f t="shared" si="7"/>
        <v>0.1546924113156713</v>
      </c>
      <c r="G20" s="22">
        <f t="shared" si="7"/>
        <v>0.18230803771890436</v>
      </c>
      <c r="H20" s="22">
        <f t="shared" si="7"/>
        <v>0.17220475976650201</v>
      </c>
      <c r="I20" s="22">
        <f t="shared" si="7"/>
        <v>0.15087561742254155</v>
      </c>
      <c r="J20" s="22">
        <f t="shared" si="7"/>
        <v>0.15783565334530758</v>
      </c>
      <c r="O20" s="29">
        <f>SUM(O16:O19)</f>
        <v>95.41935483870968</v>
      </c>
    </row>
    <row r="21" spans="1:18" x14ac:dyDescent="0.3">
      <c r="A21" s="10" t="s">
        <v>9</v>
      </c>
      <c r="B21" s="15">
        <f>GETPIVOTDATA(""&amp;A21,Control!$A$3)</f>
        <v>767</v>
      </c>
      <c r="C21" s="16">
        <f t="shared" si="6"/>
        <v>0.17220475976650201</v>
      </c>
      <c r="R21"/>
    </row>
    <row r="22" spans="1:18" x14ac:dyDescent="0.3">
      <c r="A22" s="10" t="s">
        <v>10</v>
      </c>
      <c r="B22" s="15">
        <f>GETPIVOTDATA(""&amp;A22,Control!$A$3)</f>
        <v>672</v>
      </c>
      <c r="C22" s="16">
        <f t="shared" si="6"/>
        <v>0.15087561742254155</v>
      </c>
      <c r="R22"/>
    </row>
    <row r="23" spans="1:18" x14ac:dyDescent="0.3">
      <c r="A23" s="10" t="s">
        <v>11</v>
      </c>
      <c r="B23" s="15">
        <f>GETPIVOTDATA(""&amp;A23,Control!$A$3)</f>
        <v>703</v>
      </c>
      <c r="C23" s="16">
        <f t="shared" si="6"/>
        <v>0.15783565334530758</v>
      </c>
      <c r="R23"/>
    </row>
    <row r="24" spans="1:18" ht="15.6" x14ac:dyDescent="0.3">
      <c r="A24" s="10" t="s">
        <v>107</v>
      </c>
      <c r="B24" s="15">
        <f>SUM(B18:B20)</f>
        <v>2312</v>
      </c>
      <c r="C24" s="16"/>
      <c r="F24" s="25" t="s">
        <v>121</v>
      </c>
      <c r="G24" s="10" t="s">
        <v>127</v>
      </c>
      <c r="H24" s="15">
        <f>SUM(G25:G29)</f>
        <v>121.12903225806453</v>
      </c>
      <c r="M24" s="10" t="s">
        <v>128</v>
      </c>
      <c r="R24"/>
    </row>
    <row r="25" spans="1:18" x14ac:dyDescent="0.3">
      <c r="A25" s="10" t="s">
        <v>106</v>
      </c>
      <c r="B25" s="15">
        <f>SUM(B21:B23)</f>
        <v>2142</v>
      </c>
      <c r="F25" s="26" t="s">
        <v>45</v>
      </c>
      <c r="G25" s="10">
        <f>GETPIVOTDATA(""&amp;F25,Control!$A$3)</f>
        <v>24.35483870967742</v>
      </c>
      <c r="H25" s="16">
        <f>G25/$H$24</f>
        <v>0.20106524633821571</v>
      </c>
      <c r="I25" s="18">
        <f>H25</f>
        <v>0.20106524633821571</v>
      </c>
      <c r="J25" s="18">
        <f t="shared" ref="J25:L25" si="8">I25</f>
        <v>0.20106524633821571</v>
      </c>
      <c r="K25" s="18">
        <f t="shared" si="8"/>
        <v>0.20106524633821571</v>
      </c>
      <c r="L25" s="18">
        <f t="shared" si="8"/>
        <v>0.20106524633821571</v>
      </c>
      <c r="M25" s="10" t="s">
        <v>129</v>
      </c>
      <c r="R25"/>
    </row>
    <row r="26" spans="1:18" x14ac:dyDescent="0.3">
      <c r="A26" s="10" t="s">
        <v>108</v>
      </c>
      <c r="B26" s="23">
        <f>SUM(E2:INDEX(E2:E13,K2))/B17</f>
        <v>6.3013333333333338E-2</v>
      </c>
      <c r="C26" s="18">
        <f>1-B26</f>
        <v>0.93698666666666663</v>
      </c>
      <c r="F26" s="26" t="s">
        <v>46</v>
      </c>
      <c r="G26" s="10">
        <f>GETPIVOTDATA(""&amp;F26,Control!$A$3)</f>
        <v>28.903225806451612</v>
      </c>
      <c r="H26" s="16">
        <f t="shared" ref="H26:H29" si="9">G26/$H$24</f>
        <v>0.23861517976031954</v>
      </c>
      <c r="I26" s="18">
        <f t="shared" ref="I26:L29" si="10">H26</f>
        <v>0.23861517976031954</v>
      </c>
      <c r="J26" s="18">
        <f t="shared" si="10"/>
        <v>0.23861517976031954</v>
      </c>
      <c r="K26" s="18">
        <f t="shared" si="10"/>
        <v>0.23861517976031954</v>
      </c>
      <c r="L26" s="18">
        <f t="shared" si="10"/>
        <v>0.23861517976031954</v>
      </c>
      <c r="M26" s="10" t="s">
        <v>130</v>
      </c>
      <c r="N26" s="15"/>
      <c r="R26"/>
    </row>
    <row r="27" spans="1:18" x14ac:dyDescent="0.3">
      <c r="A27" s="15">
        <f>B17*B26</f>
        <v>18904</v>
      </c>
      <c r="F27" s="26" t="s">
        <v>47</v>
      </c>
      <c r="G27" s="10">
        <f>GETPIVOTDATA(""&amp;F27,Control!$A$3)</f>
        <v>21.677419354838708</v>
      </c>
      <c r="H27" s="16">
        <f t="shared" si="9"/>
        <v>0.17896138482023966</v>
      </c>
      <c r="I27" s="18">
        <f t="shared" si="10"/>
        <v>0.17896138482023966</v>
      </c>
      <c r="J27" s="18">
        <f t="shared" si="10"/>
        <v>0.17896138482023966</v>
      </c>
      <c r="K27" s="18">
        <f t="shared" si="10"/>
        <v>0.17896138482023966</v>
      </c>
      <c r="L27" s="18">
        <f t="shared" si="10"/>
        <v>0.17896138482023966</v>
      </c>
      <c r="M27" s="10" t="s">
        <v>131</v>
      </c>
      <c r="R27"/>
    </row>
    <row r="28" spans="1:18" x14ac:dyDescent="0.3">
      <c r="F28" s="26" t="s">
        <v>48</v>
      </c>
      <c r="G28" s="10">
        <f>GETPIVOTDATA(""&amp;F28,Control!$A$3)</f>
        <v>23.70967741935484</v>
      </c>
      <c r="H28" s="16">
        <f t="shared" si="9"/>
        <v>0.19573901464713714</v>
      </c>
      <c r="I28" s="18">
        <f t="shared" si="10"/>
        <v>0.19573901464713714</v>
      </c>
      <c r="J28" s="18">
        <f t="shared" si="10"/>
        <v>0.19573901464713714</v>
      </c>
      <c r="K28" s="18">
        <f t="shared" si="10"/>
        <v>0.19573901464713714</v>
      </c>
      <c r="L28" s="18">
        <f t="shared" si="10"/>
        <v>0.19573901464713714</v>
      </c>
      <c r="M28" s="10" t="s">
        <v>132</v>
      </c>
      <c r="R28"/>
    </row>
    <row r="29" spans="1:18" x14ac:dyDescent="0.3">
      <c r="F29" s="26" t="s">
        <v>49</v>
      </c>
      <c r="G29" s="10">
        <f>GETPIVOTDATA(""&amp;F29,Control!$A$3)</f>
        <v>22.483870967741936</v>
      </c>
      <c r="H29" s="16">
        <f t="shared" si="9"/>
        <v>0.18561917443408787</v>
      </c>
      <c r="I29" s="18">
        <f t="shared" si="10"/>
        <v>0.18561917443408787</v>
      </c>
      <c r="J29" s="18">
        <f t="shared" si="10"/>
        <v>0.18561917443408787</v>
      </c>
      <c r="K29" s="18">
        <f t="shared" si="10"/>
        <v>0.18561917443408787</v>
      </c>
      <c r="L29" s="18">
        <f t="shared" si="10"/>
        <v>0.18561917443408787</v>
      </c>
      <c r="M29" s="10" t="s">
        <v>133</v>
      </c>
      <c r="R29"/>
    </row>
    <row r="30" spans="1:18" x14ac:dyDescent="0.3">
      <c r="H30" s="18">
        <v>1</v>
      </c>
      <c r="I30" s="18">
        <v>1</v>
      </c>
      <c r="J30" s="18">
        <v>1</v>
      </c>
      <c r="K30" s="18">
        <v>1</v>
      </c>
      <c r="L30" s="18">
        <v>1</v>
      </c>
    </row>
    <row r="34" spans="1:9" x14ac:dyDescent="0.3">
      <c r="A34" s="10" t="s">
        <v>140</v>
      </c>
      <c r="B34" s="4" t="s">
        <v>54</v>
      </c>
      <c r="C34" s="4" t="s">
        <v>55</v>
      </c>
      <c r="D34" s="4" t="s">
        <v>56</v>
      </c>
      <c r="E34" s="4" t="s">
        <v>57</v>
      </c>
      <c r="F34" s="10" t="s">
        <v>154</v>
      </c>
    </row>
    <row r="35" spans="1:9" x14ac:dyDescent="0.3">
      <c r="A35" s="10" t="s">
        <v>141</v>
      </c>
      <c r="B35" s="31">
        <f>GETPIVOTDATA(""&amp;B34,Control!$A$3)</f>
        <v>21.774193548387096</v>
      </c>
      <c r="C35" s="31">
        <f>GETPIVOTDATA(""&amp;C34,Control!$A$3)</f>
        <v>26.483870967741936</v>
      </c>
      <c r="D35" s="31">
        <f>GETPIVOTDATA(""&amp;D34,Control!$A$3)</f>
        <v>22.451612903225808</v>
      </c>
      <c r="E35" s="31">
        <f>GETPIVOTDATA(""&amp;E34,Control!$A$3)</f>
        <v>27.93548387096774</v>
      </c>
      <c r="F35" s="15">
        <f>SUM(B35:E35)</f>
        <v>98.645161290322591</v>
      </c>
    </row>
    <row r="36" spans="1:9" x14ac:dyDescent="0.3">
      <c r="A36" s="10" t="s">
        <v>142</v>
      </c>
      <c r="B36" s="32">
        <f>B37-B35</f>
        <v>58.225806451612904</v>
      </c>
      <c r="C36" s="32">
        <f t="shared" ref="C36:E36" si="11">C37-C35</f>
        <v>43.516129032258064</v>
      </c>
      <c r="D36" s="32">
        <f t="shared" si="11"/>
        <v>42.548387096774192</v>
      </c>
      <c r="E36" s="32">
        <f t="shared" si="11"/>
        <v>12.06451612903226</v>
      </c>
      <c r="F36" s="15">
        <f t="shared" ref="F36:F37" si="12">SUM(B36:E36)</f>
        <v>156.35483870967744</v>
      </c>
    </row>
    <row r="37" spans="1:9" x14ac:dyDescent="0.3">
      <c r="A37" s="10" t="s">
        <v>143</v>
      </c>
      <c r="B37" s="10">
        <v>80</v>
      </c>
      <c r="C37" s="10">
        <v>70</v>
      </c>
      <c r="D37" s="10">
        <v>65</v>
      </c>
      <c r="E37" s="10">
        <v>40</v>
      </c>
      <c r="F37" s="15">
        <f t="shared" si="12"/>
        <v>255</v>
      </c>
    </row>
    <row r="38" spans="1:9" x14ac:dyDescent="0.3">
      <c r="A38" s="10" t="s">
        <v>144</v>
      </c>
      <c r="B38" s="16">
        <f>B35/B37</f>
        <v>0.27217741935483869</v>
      </c>
      <c r="C38" s="16">
        <f t="shared" ref="C38:E38" si="13">C35/C37</f>
        <v>0.37834101382488478</v>
      </c>
      <c r="D38" s="16">
        <f t="shared" si="13"/>
        <v>0.34540942928039703</v>
      </c>
      <c r="E38" s="16">
        <f t="shared" si="13"/>
        <v>0.69838709677419353</v>
      </c>
      <c r="F38" s="16">
        <f>F35/F37</f>
        <v>0.38684376976597096</v>
      </c>
    </row>
    <row r="39" spans="1:9" x14ac:dyDescent="0.3">
      <c r="A39" s="10" t="s">
        <v>145</v>
      </c>
      <c r="B39" s="16">
        <f>B37/$B$40</f>
        <v>1</v>
      </c>
      <c r="C39" s="16">
        <f t="shared" ref="C39:E39" si="14">C37/$B$40</f>
        <v>0.875</v>
      </c>
      <c r="D39" s="16">
        <f t="shared" si="14"/>
        <v>0.8125</v>
      </c>
      <c r="E39" s="16">
        <f t="shared" si="14"/>
        <v>0.5</v>
      </c>
      <c r="F39" s="16">
        <f>1-F38</f>
        <v>0.61315623023402899</v>
      </c>
    </row>
    <row r="40" spans="1:9" x14ac:dyDescent="0.3">
      <c r="A40" s="10" t="s">
        <v>146</v>
      </c>
      <c r="B40" s="10">
        <f>MAX(B37:E37)</f>
        <v>80</v>
      </c>
    </row>
    <row r="42" spans="1:9" x14ac:dyDescent="0.3">
      <c r="B42" s="4" t="s">
        <v>57</v>
      </c>
      <c r="D42" s="4" t="s">
        <v>56</v>
      </c>
      <c r="F42" s="4" t="s">
        <v>55</v>
      </c>
      <c r="H42" s="4" t="s">
        <v>54</v>
      </c>
      <c r="I42" s="10" t="s">
        <v>155</v>
      </c>
    </row>
    <row r="43" spans="1:9" x14ac:dyDescent="0.3">
      <c r="A43" s="6" t="s">
        <v>141</v>
      </c>
      <c r="B43" s="16" cm="1">
        <f t="array" ref="B43">(100%-SUM(B45:B46))*INDEX($B$38:$E$38,1,B47)</f>
        <v>0.26189516129032259</v>
      </c>
      <c r="C43" s="16" cm="1">
        <f t="array" ref="C43">(100%-SUM(C45:C46))*INDEX($B$38:$E$38,1,C47)</f>
        <v>0.26189516129032259</v>
      </c>
      <c r="D43" s="16" cm="1">
        <f t="array" ref="D43">(100%-SUM(D45:D46))*INDEX($B$38:$E$38,1,D47)</f>
        <v>0.21048387096774193</v>
      </c>
      <c r="E43" s="16" cm="1">
        <f t="array" ref="E43">(100%-SUM(E45:E46))*INDEX($B$38:$E$38,1,E47)</f>
        <v>0.21048387096774193</v>
      </c>
      <c r="F43" s="16" cm="1">
        <f t="array" ref="F43">(100%-SUM(F45:F46))*INDEX($B$38:$E$38,1,F47)</f>
        <v>0.24828629032258062</v>
      </c>
      <c r="G43" s="16" cm="1">
        <f t="array" ref="G43">(100%-SUM(G45:G46))*INDEX($B$38:$E$38,1,G47)</f>
        <v>0.24828629032258062</v>
      </c>
      <c r="H43" s="16" cm="1">
        <f t="array" ref="H43">(100%-SUM(H45:H46))*INDEX($B$38:$E$38,1,H47)</f>
        <v>0.204133064516129</v>
      </c>
      <c r="I43" s="18">
        <v>0.75</v>
      </c>
    </row>
    <row r="44" spans="1:9" x14ac:dyDescent="0.3">
      <c r="A44" s="6" t="s">
        <v>147</v>
      </c>
      <c r="B44" s="16">
        <f>100%-SUM(B45:B46)-B43</f>
        <v>0.11310483870967741</v>
      </c>
      <c r="C44" s="16">
        <f t="shared" ref="C44:H44" si="15">100%-SUM(C45:C46)-C43</f>
        <v>0.11310483870967741</v>
      </c>
      <c r="D44" s="16">
        <f t="shared" si="15"/>
        <v>0.3988911290322581</v>
      </c>
      <c r="E44" s="16">
        <f t="shared" si="15"/>
        <v>0.3988911290322581</v>
      </c>
      <c r="F44" s="16">
        <f t="shared" si="15"/>
        <v>0.40796370967741935</v>
      </c>
      <c r="G44" s="16">
        <f t="shared" si="15"/>
        <v>0.40796370967741935</v>
      </c>
      <c r="H44" s="16">
        <f t="shared" si="15"/>
        <v>0.545866935483871</v>
      </c>
      <c r="I44" s="18">
        <v>0</v>
      </c>
    </row>
    <row r="45" spans="1:9" x14ac:dyDescent="0.3">
      <c r="A45" s="6" t="s">
        <v>148</v>
      </c>
      <c r="B45" s="16" cm="1">
        <f t="array" ref="B45">(100%-INDEX($B$39:$E$39,1,B47))*$I$43</f>
        <v>0.375</v>
      </c>
      <c r="C45" s="16" cm="1">
        <f t="array" ref="C45">(100%-INDEX($B$39:$E$39,1,C47))*$I$43</f>
        <v>0.375</v>
      </c>
      <c r="D45" s="16" cm="1">
        <f t="array" ref="D45">(100%-INDEX($B$39:$E$39,1,D47))*$I$43</f>
        <v>0.140625</v>
      </c>
      <c r="E45" s="16" cm="1">
        <f t="array" ref="E45">(100%-INDEX($B$39:$E$39,1,E47))*$I$43</f>
        <v>0.140625</v>
      </c>
      <c r="F45" s="16" cm="1">
        <f t="array" ref="F45">(100%-INDEX($B$39:$E$39,1,F47))*$I$43</f>
        <v>9.375E-2</v>
      </c>
      <c r="G45" s="16" cm="1">
        <f t="array" ref="G45">(100%-INDEX($B$39:$E$39,1,G47))*$I$43</f>
        <v>9.375E-2</v>
      </c>
      <c r="H45" s="16" cm="1">
        <f t="array" ref="H45">(100%-INDEX($B$39:$E$39,1,H47))*$I$43</f>
        <v>0</v>
      </c>
      <c r="I45" s="18">
        <v>0</v>
      </c>
    </row>
    <row r="46" spans="1:9" x14ac:dyDescent="0.3">
      <c r="A46" s="6" t="s">
        <v>149</v>
      </c>
      <c r="B46" s="18">
        <f>$I$46</f>
        <v>0.25</v>
      </c>
      <c r="C46" s="18">
        <f t="shared" ref="C46:H46" si="16">$I$46</f>
        <v>0.25</v>
      </c>
      <c r="D46" s="18">
        <f t="shared" si="16"/>
        <v>0.25</v>
      </c>
      <c r="E46" s="18">
        <f t="shared" si="16"/>
        <v>0.25</v>
      </c>
      <c r="F46" s="18">
        <f t="shared" si="16"/>
        <v>0.25</v>
      </c>
      <c r="G46" s="18">
        <f t="shared" si="16"/>
        <v>0.25</v>
      </c>
      <c r="H46" s="18">
        <f t="shared" si="16"/>
        <v>0.25</v>
      </c>
      <c r="I46" s="18">
        <v>0.25</v>
      </c>
    </row>
    <row r="47" spans="1:9" x14ac:dyDescent="0.3">
      <c r="A47" s="6"/>
      <c r="B47" s="10">
        <v>4</v>
      </c>
      <c r="C47" s="10">
        <v>4</v>
      </c>
      <c r="D47" s="10">
        <v>3</v>
      </c>
      <c r="E47" s="10">
        <v>3</v>
      </c>
      <c r="F47" s="10">
        <v>2</v>
      </c>
      <c r="G47" s="10">
        <v>2</v>
      </c>
      <c r="H47" s="10">
        <v>1</v>
      </c>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FFFC6-02B6-4E6D-A8C3-0745F24E5520}">
  <sheetPr codeName="Sheet3"/>
  <dimension ref="A3:X33"/>
  <sheetViews>
    <sheetView zoomScale="70" zoomScaleNormal="70" workbookViewId="0">
      <selection activeCell="C22" sqref="C22"/>
    </sheetView>
  </sheetViews>
  <sheetFormatPr defaultRowHeight="14.4" x14ac:dyDescent="0.3"/>
  <cols>
    <col min="1" max="1" width="13.88671875" bestFit="1" customWidth="1"/>
    <col min="2" max="2" width="14.109375" bestFit="1" customWidth="1"/>
    <col min="3" max="3" width="13.77734375" bestFit="1" customWidth="1"/>
    <col min="4" max="4" width="15.77734375" bestFit="1" customWidth="1"/>
    <col min="5" max="5" width="17.21875" bestFit="1" customWidth="1"/>
    <col min="6" max="6" width="22" bestFit="1" customWidth="1"/>
    <col min="7" max="7" width="17.77734375" bestFit="1" customWidth="1"/>
    <col min="8" max="8" width="19.33203125" bestFit="1" customWidth="1"/>
    <col min="9" max="9" width="20.5546875" bestFit="1" customWidth="1"/>
    <col min="10" max="10" width="17.21875" bestFit="1" customWidth="1"/>
    <col min="11" max="11" width="16.6640625" bestFit="1" customWidth="1"/>
    <col min="12" max="12" width="29.77734375" bestFit="1" customWidth="1"/>
    <col min="13" max="13" width="30.5546875" bestFit="1" customWidth="1"/>
    <col min="14" max="14" width="35.33203125" bestFit="1" customWidth="1"/>
    <col min="15" max="15" width="31.5546875" bestFit="1" customWidth="1"/>
    <col min="16" max="16" width="26" bestFit="1" customWidth="1"/>
    <col min="17" max="17" width="18.33203125" bestFit="1" customWidth="1"/>
    <col min="18" max="18" width="20.21875" bestFit="1" customWidth="1"/>
    <col min="19" max="19" width="25.21875" bestFit="1" customWidth="1"/>
    <col min="20" max="20" width="20.109375" bestFit="1" customWidth="1"/>
    <col min="21" max="24" width="15.77734375" bestFit="1" customWidth="1"/>
  </cols>
  <sheetData>
    <row r="3" spans="1:24" x14ac:dyDescent="0.3">
      <c r="A3" s="5" t="s">
        <v>72</v>
      </c>
      <c r="B3" t="s">
        <v>91</v>
      </c>
      <c r="C3" t="s">
        <v>74</v>
      </c>
      <c r="D3" t="s">
        <v>75</v>
      </c>
      <c r="E3" t="s">
        <v>98</v>
      </c>
      <c r="F3" t="s">
        <v>100</v>
      </c>
      <c r="G3" t="s">
        <v>101</v>
      </c>
      <c r="H3" t="s">
        <v>102</v>
      </c>
      <c r="I3" t="s">
        <v>103</v>
      </c>
      <c r="J3" t="s">
        <v>104</v>
      </c>
      <c r="K3" t="s">
        <v>105</v>
      </c>
      <c r="L3" t="s">
        <v>122</v>
      </c>
      <c r="M3" t="s">
        <v>123</v>
      </c>
      <c r="N3" t="s">
        <v>124</v>
      </c>
      <c r="O3" t="s">
        <v>125</v>
      </c>
      <c r="P3" t="s">
        <v>126</v>
      </c>
      <c r="Q3" t="s">
        <v>136</v>
      </c>
      <c r="R3" t="s">
        <v>137</v>
      </c>
      <c r="S3" t="s">
        <v>138</v>
      </c>
      <c r="T3" t="s">
        <v>139</v>
      </c>
      <c r="U3" t="s">
        <v>150</v>
      </c>
      <c r="V3" t="s">
        <v>151</v>
      </c>
      <c r="W3" t="s">
        <v>152</v>
      </c>
      <c r="X3" t="s">
        <v>153</v>
      </c>
    </row>
    <row r="4" spans="1:24" x14ac:dyDescent="0.3">
      <c r="A4" s="6" t="s">
        <v>60</v>
      </c>
      <c r="B4">
        <v>1</v>
      </c>
      <c r="C4">
        <v>17800</v>
      </c>
      <c r="D4">
        <v>18904</v>
      </c>
      <c r="E4">
        <v>3980.3870967741937</v>
      </c>
      <c r="F4">
        <v>811</v>
      </c>
      <c r="G4">
        <v>689</v>
      </c>
      <c r="H4">
        <v>812</v>
      </c>
      <c r="I4">
        <v>767</v>
      </c>
      <c r="J4">
        <v>672</v>
      </c>
      <c r="K4">
        <v>703</v>
      </c>
      <c r="L4">
        <v>24.35483870967742</v>
      </c>
      <c r="M4">
        <v>28.903225806451612</v>
      </c>
      <c r="N4">
        <v>21.677419354838708</v>
      </c>
      <c r="O4">
        <v>23.70967741935484</v>
      </c>
      <c r="P4">
        <v>22.483870967741936</v>
      </c>
      <c r="Q4">
        <v>27.35483870967742</v>
      </c>
      <c r="R4">
        <v>19</v>
      </c>
      <c r="S4">
        <v>22.741935483870968</v>
      </c>
      <c r="T4">
        <v>26.322580645161292</v>
      </c>
      <c r="U4">
        <v>21.774193548387096</v>
      </c>
      <c r="V4">
        <v>26.483870967741936</v>
      </c>
      <c r="W4">
        <v>22.451612903225808</v>
      </c>
      <c r="X4">
        <v>27.93548387096774</v>
      </c>
    </row>
    <row r="5" spans="1:24" x14ac:dyDescent="0.3">
      <c r="A5" s="6" t="s">
        <v>73</v>
      </c>
      <c r="B5">
        <v>1</v>
      </c>
      <c r="C5">
        <v>17800</v>
      </c>
      <c r="D5">
        <v>18904</v>
      </c>
      <c r="E5">
        <v>3980.3870967741937</v>
      </c>
      <c r="F5">
        <v>811</v>
      </c>
      <c r="G5">
        <v>689</v>
      </c>
      <c r="H5">
        <v>812</v>
      </c>
      <c r="I5">
        <v>767</v>
      </c>
      <c r="J5">
        <v>672</v>
      </c>
      <c r="K5">
        <v>703</v>
      </c>
      <c r="L5" s="30">
        <v>24.35483870967742</v>
      </c>
      <c r="M5" s="30">
        <v>28.903225806451612</v>
      </c>
      <c r="N5" s="30">
        <v>21.677419354838708</v>
      </c>
      <c r="O5" s="30">
        <v>23.70967741935484</v>
      </c>
      <c r="P5">
        <v>22.483870967741936</v>
      </c>
      <c r="Q5" s="30">
        <v>27.35483870967742</v>
      </c>
      <c r="R5" s="30">
        <v>19</v>
      </c>
      <c r="S5" s="30">
        <v>22.741935483870968</v>
      </c>
      <c r="T5" s="30">
        <v>26.322580645161292</v>
      </c>
      <c r="U5" s="30">
        <v>21.774193548387096</v>
      </c>
      <c r="V5" s="30">
        <v>26.483870967741936</v>
      </c>
      <c r="W5" s="30">
        <v>22.451612903225808</v>
      </c>
      <c r="X5" s="30">
        <v>27.93548387096774</v>
      </c>
    </row>
    <row r="20" spans="1:3" x14ac:dyDescent="0.3">
      <c r="A20" s="5" t="s">
        <v>72</v>
      </c>
      <c r="B20" t="s">
        <v>74</v>
      </c>
      <c r="C20" t="s">
        <v>75</v>
      </c>
    </row>
    <row r="21" spans="1:3" x14ac:dyDescent="0.3">
      <c r="A21" s="6" t="s">
        <v>60</v>
      </c>
      <c r="B21">
        <v>17800</v>
      </c>
      <c r="C21">
        <v>18904</v>
      </c>
    </row>
    <row r="22" spans="1:3" x14ac:dyDescent="0.3">
      <c r="A22" s="6" t="s">
        <v>61</v>
      </c>
      <c r="B22">
        <v>18080</v>
      </c>
      <c r="C22">
        <v>18279</v>
      </c>
    </row>
    <row r="23" spans="1:3" x14ac:dyDescent="0.3">
      <c r="A23" s="6" t="s">
        <v>62</v>
      </c>
      <c r="B23">
        <v>20857</v>
      </c>
      <c r="C23">
        <v>20177</v>
      </c>
    </row>
    <row r="24" spans="1:3" x14ac:dyDescent="0.3">
      <c r="A24" s="6" t="s">
        <v>63</v>
      </c>
      <c r="B24">
        <v>21688</v>
      </c>
      <c r="C24">
        <v>20154</v>
      </c>
    </row>
    <row r="25" spans="1:3" x14ac:dyDescent="0.3">
      <c r="A25" s="6" t="s">
        <v>64</v>
      </c>
      <c r="B25">
        <v>23965</v>
      </c>
      <c r="C25">
        <v>21472</v>
      </c>
    </row>
    <row r="26" spans="1:3" x14ac:dyDescent="0.3">
      <c r="A26" s="6" t="s">
        <v>65</v>
      </c>
      <c r="B26">
        <v>24696</v>
      </c>
      <c r="C26">
        <v>21406</v>
      </c>
    </row>
    <row r="27" spans="1:3" x14ac:dyDescent="0.3">
      <c r="A27" s="6" t="s">
        <v>66</v>
      </c>
      <c r="B27">
        <v>27073</v>
      </c>
      <c r="C27">
        <v>22768</v>
      </c>
    </row>
    <row r="28" spans="1:3" x14ac:dyDescent="0.3">
      <c r="A28" s="6" t="s">
        <v>67</v>
      </c>
      <c r="B28">
        <v>28654</v>
      </c>
      <c r="C28">
        <v>23426</v>
      </c>
    </row>
    <row r="29" spans="1:3" x14ac:dyDescent="0.3">
      <c r="A29" s="6" t="s">
        <v>68</v>
      </c>
      <c r="B29">
        <v>29233</v>
      </c>
      <c r="C29">
        <v>23296</v>
      </c>
    </row>
    <row r="30" spans="1:3" x14ac:dyDescent="0.3">
      <c r="A30" s="6" t="s">
        <v>69</v>
      </c>
      <c r="B30">
        <v>31762</v>
      </c>
      <c r="C30">
        <v>24722</v>
      </c>
    </row>
    <row r="31" spans="1:3" x14ac:dyDescent="0.3">
      <c r="A31" s="6" t="s">
        <v>70</v>
      </c>
      <c r="B31">
        <v>32242</v>
      </c>
      <c r="C31">
        <v>24550</v>
      </c>
    </row>
    <row r="32" spans="1:3" x14ac:dyDescent="0.3">
      <c r="A32" s="6" t="s">
        <v>71</v>
      </c>
      <c r="B32">
        <v>34870</v>
      </c>
      <c r="C32">
        <v>26016</v>
      </c>
    </row>
    <row r="33" spans="1:3" x14ac:dyDescent="0.3">
      <c r="A33" s="6" t="s">
        <v>73</v>
      </c>
      <c r="B33">
        <v>310920</v>
      </c>
      <c r="C33">
        <v>265170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1E769-4BEF-491B-9A4E-A25470022FCC}">
  <sheetPr codeName="Sheet4"/>
  <dimension ref="A1:BG367"/>
  <sheetViews>
    <sheetView topLeftCell="AT1" zoomScale="80" zoomScaleNormal="80" workbookViewId="0">
      <selection activeCell="AV23" sqref="AV23"/>
    </sheetView>
  </sheetViews>
  <sheetFormatPr defaultRowHeight="14.4" x14ac:dyDescent="0.3"/>
  <cols>
    <col min="1" max="1" width="10.109375" bestFit="1" customWidth="1"/>
    <col min="2" max="2" width="10.44140625" bestFit="1" customWidth="1"/>
    <col min="3" max="3" width="10" bestFit="1" customWidth="1"/>
    <col min="4" max="4" width="9.33203125" bestFit="1" customWidth="1"/>
    <col min="5" max="5" width="11" bestFit="1" customWidth="1"/>
    <col min="6" max="6" width="17.33203125" bestFit="1" customWidth="1"/>
    <col min="7" max="7" width="13.21875" bestFit="1" customWidth="1"/>
    <col min="8" max="8" width="14.33203125" bestFit="1" customWidth="1"/>
    <col min="9" max="9" width="15.88671875" bestFit="1" customWidth="1"/>
    <col min="10" max="10" width="12.77734375" bestFit="1" customWidth="1"/>
    <col min="11" max="11" width="11.88671875" bestFit="1" customWidth="1"/>
    <col min="12" max="12" width="21.33203125" bestFit="1" customWidth="1"/>
    <col min="13" max="13" width="22.21875" bestFit="1" customWidth="1"/>
    <col min="14" max="14" width="23.109375" bestFit="1" customWidth="1"/>
    <col min="15" max="15" width="17.6640625" bestFit="1" customWidth="1"/>
    <col min="16" max="16" width="26.77734375" bestFit="1" customWidth="1"/>
    <col min="17" max="17" width="8" bestFit="1" customWidth="1"/>
    <col min="18" max="18" width="16.77734375" bestFit="1" customWidth="1"/>
    <col min="19" max="19" width="22" bestFit="1" customWidth="1"/>
    <col min="20" max="20" width="18.6640625" bestFit="1" customWidth="1"/>
    <col min="21" max="21" width="7.21875" bestFit="1" customWidth="1"/>
    <col min="22" max="22" width="16.88671875" bestFit="1" customWidth="1"/>
    <col min="23" max="23" width="13.6640625" bestFit="1" customWidth="1"/>
    <col min="24" max="24" width="21.33203125" bestFit="1" customWidth="1"/>
    <col min="25" max="25" width="19.6640625" bestFit="1" customWidth="1"/>
    <col min="26" max="26" width="21.5546875" bestFit="1" customWidth="1"/>
    <col min="27" max="27" width="10.109375" bestFit="1" customWidth="1"/>
    <col min="28" max="28" width="19.5546875" bestFit="1" customWidth="1"/>
    <col min="29" max="29" width="6.88671875" bestFit="1" customWidth="1"/>
    <col min="30" max="30" width="17.77734375" bestFit="1" customWidth="1"/>
    <col min="31" max="31" width="13.33203125" bestFit="1" customWidth="1"/>
    <col min="32" max="32" width="12.77734375" bestFit="1" customWidth="1"/>
    <col min="33" max="33" width="22.77734375" bestFit="1" customWidth="1"/>
    <col min="34" max="34" width="6.77734375" bestFit="1" customWidth="1"/>
    <col min="35" max="35" width="12.5546875" bestFit="1" customWidth="1"/>
    <col min="36" max="36" width="9.33203125" bestFit="1" customWidth="1"/>
    <col min="37" max="37" width="10.21875" bestFit="1" customWidth="1"/>
    <col min="38" max="38" width="11.44140625" bestFit="1" customWidth="1"/>
    <col min="39" max="39" width="10.33203125" bestFit="1" customWidth="1"/>
    <col min="40" max="40" width="12.21875" bestFit="1" customWidth="1"/>
    <col min="41" max="41" width="13.21875" bestFit="1" customWidth="1"/>
    <col min="42" max="42" width="8.44140625" bestFit="1" customWidth="1"/>
    <col min="43" max="43" width="21.77734375" bestFit="1" customWidth="1"/>
    <col min="44" max="44" width="18.44140625" bestFit="1" customWidth="1"/>
    <col min="45" max="45" width="21.5546875" bestFit="1" customWidth="1"/>
    <col min="46" max="46" width="22.44140625" bestFit="1" customWidth="1"/>
    <col min="47" max="47" width="27" bestFit="1" customWidth="1"/>
    <col min="48" max="48" width="23.33203125" bestFit="1" customWidth="1"/>
    <col min="49" max="49" width="17.77734375" bestFit="1" customWidth="1"/>
    <col min="50" max="50" width="10.6640625" bestFit="1" customWidth="1"/>
    <col min="51" max="51" width="12.77734375" bestFit="1" customWidth="1"/>
    <col min="52" max="52" width="17.33203125" bestFit="1" customWidth="1"/>
    <col min="53" max="53" width="12.6640625" bestFit="1" customWidth="1"/>
    <col min="54" max="57" width="8.21875" bestFit="1" customWidth="1"/>
    <col min="58" max="58" width="13.88671875" bestFit="1" customWidth="1"/>
    <col min="59" max="59" width="9.77734375" bestFit="1" customWidth="1"/>
  </cols>
  <sheetData>
    <row r="1" spans="1:59"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row>
    <row r="2" spans="1:59" x14ac:dyDescent="0.3">
      <c r="A2" s="3">
        <v>45292</v>
      </c>
      <c r="B2" t="s">
        <v>60</v>
      </c>
      <c r="C2">
        <v>1</v>
      </c>
      <c r="D2">
        <v>550</v>
      </c>
      <c r="E2">
        <v>600</v>
      </c>
      <c r="F2">
        <v>24</v>
      </c>
      <c r="G2">
        <v>43</v>
      </c>
      <c r="H2">
        <v>41</v>
      </c>
      <c r="I2">
        <v>16</v>
      </c>
      <c r="J2">
        <v>36</v>
      </c>
      <c r="K2">
        <v>13</v>
      </c>
      <c r="L2">
        <v>15</v>
      </c>
      <c r="M2">
        <v>4</v>
      </c>
      <c r="N2">
        <v>46</v>
      </c>
      <c r="O2">
        <v>43</v>
      </c>
      <c r="P2">
        <v>34</v>
      </c>
      <c r="Q2">
        <v>29</v>
      </c>
      <c r="R2">
        <v>23</v>
      </c>
      <c r="S2">
        <v>33</v>
      </c>
      <c r="T2">
        <v>41</v>
      </c>
      <c r="U2">
        <v>24</v>
      </c>
      <c r="V2">
        <v>41</v>
      </c>
      <c r="W2">
        <v>1</v>
      </c>
      <c r="X2">
        <v>11</v>
      </c>
      <c r="Y2">
        <v>8</v>
      </c>
      <c r="Z2">
        <v>48</v>
      </c>
      <c r="AA2">
        <v>23</v>
      </c>
      <c r="AB2">
        <v>25</v>
      </c>
      <c r="AC2">
        <v>37</v>
      </c>
      <c r="AD2">
        <v>31</v>
      </c>
      <c r="AE2">
        <v>29</v>
      </c>
      <c r="AF2">
        <v>37</v>
      </c>
      <c r="AG2">
        <v>14</v>
      </c>
      <c r="AH2">
        <v>37</v>
      </c>
      <c r="AI2">
        <v>38</v>
      </c>
      <c r="AJ2">
        <v>4</v>
      </c>
      <c r="AK2">
        <v>7</v>
      </c>
      <c r="AL2">
        <v>23</v>
      </c>
      <c r="AM2">
        <v>6</v>
      </c>
      <c r="AN2">
        <v>12</v>
      </c>
      <c r="AO2">
        <v>14</v>
      </c>
      <c r="AP2">
        <v>18</v>
      </c>
      <c r="AQ2">
        <v>45</v>
      </c>
      <c r="AR2">
        <v>23</v>
      </c>
      <c r="AS2">
        <v>30</v>
      </c>
      <c r="AT2">
        <v>30</v>
      </c>
      <c r="AU2">
        <v>17</v>
      </c>
      <c r="AV2">
        <v>13</v>
      </c>
      <c r="AW2">
        <v>20</v>
      </c>
      <c r="AX2">
        <v>32</v>
      </c>
      <c r="AY2">
        <v>11</v>
      </c>
      <c r="AZ2">
        <v>17</v>
      </c>
      <c r="BA2">
        <v>13</v>
      </c>
      <c r="BB2">
        <v>24</v>
      </c>
      <c r="BC2">
        <v>9</v>
      </c>
      <c r="BD2">
        <v>32</v>
      </c>
      <c r="BE2">
        <v>26</v>
      </c>
      <c r="BF2">
        <v>29000</v>
      </c>
      <c r="BG2">
        <v>3800</v>
      </c>
    </row>
    <row r="3" spans="1:59" x14ac:dyDescent="0.3">
      <c r="A3" s="3">
        <v>45293</v>
      </c>
      <c r="B3" t="s">
        <v>60</v>
      </c>
      <c r="C3">
        <v>1</v>
      </c>
      <c r="D3">
        <v>551</v>
      </c>
      <c r="E3">
        <v>600</v>
      </c>
      <c r="F3">
        <v>48</v>
      </c>
      <c r="G3">
        <v>24</v>
      </c>
      <c r="H3">
        <v>1</v>
      </c>
      <c r="I3">
        <v>22</v>
      </c>
      <c r="J3">
        <v>23</v>
      </c>
      <c r="K3">
        <v>31</v>
      </c>
      <c r="L3">
        <v>48</v>
      </c>
      <c r="M3">
        <v>17</v>
      </c>
      <c r="N3">
        <v>30</v>
      </c>
      <c r="O3">
        <v>47</v>
      </c>
      <c r="P3">
        <v>27</v>
      </c>
      <c r="Q3">
        <v>31</v>
      </c>
      <c r="R3">
        <v>12</v>
      </c>
      <c r="S3">
        <v>34</v>
      </c>
      <c r="T3">
        <v>7</v>
      </c>
      <c r="U3">
        <v>6</v>
      </c>
      <c r="V3">
        <v>34</v>
      </c>
      <c r="W3">
        <v>3</v>
      </c>
      <c r="X3">
        <v>48</v>
      </c>
      <c r="Y3">
        <v>40</v>
      </c>
      <c r="Z3">
        <v>37</v>
      </c>
      <c r="AA3">
        <v>34</v>
      </c>
      <c r="AB3">
        <v>31</v>
      </c>
      <c r="AC3">
        <v>45</v>
      </c>
      <c r="AD3">
        <v>20</v>
      </c>
      <c r="AE3">
        <v>0</v>
      </c>
      <c r="AF3">
        <v>46</v>
      </c>
      <c r="AG3">
        <v>4</v>
      </c>
      <c r="AH3">
        <v>38</v>
      </c>
      <c r="AI3">
        <v>38</v>
      </c>
      <c r="AJ3">
        <v>34</v>
      </c>
      <c r="AK3">
        <v>6</v>
      </c>
      <c r="AL3">
        <v>37</v>
      </c>
      <c r="AM3">
        <v>27</v>
      </c>
      <c r="AN3">
        <v>31</v>
      </c>
      <c r="AO3">
        <v>34</v>
      </c>
      <c r="AP3">
        <v>30</v>
      </c>
      <c r="AQ3">
        <v>31</v>
      </c>
      <c r="AR3">
        <v>20</v>
      </c>
      <c r="AS3">
        <v>16</v>
      </c>
      <c r="AT3">
        <v>5</v>
      </c>
      <c r="AU3">
        <v>44</v>
      </c>
      <c r="AV3">
        <v>12</v>
      </c>
      <c r="AW3">
        <v>18</v>
      </c>
      <c r="AX3">
        <v>31</v>
      </c>
      <c r="AY3">
        <v>34</v>
      </c>
      <c r="AZ3">
        <v>49</v>
      </c>
      <c r="BA3">
        <v>15</v>
      </c>
      <c r="BB3">
        <v>31</v>
      </c>
      <c r="BC3">
        <v>44</v>
      </c>
      <c r="BD3">
        <v>37</v>
      </c>
      <c r="BE3">
        <v>9</v>
      </c>
      <c r="BF3">
        <v>29550</v>
      </c>
      <c r="BG3">
        <v>3812</v>
      </c>
    </row>
    <row r="4" spans="1:59" x14ac:dyDescent="0.3">
      <c r="A4" s="3">
        <v>45294</v>
      </c>
      <c r="B4" t="s">
        <v>60</v>
      </c>
      <c r="C4">
        <v>1</v>
      </c>
      <c r="D4">
        <v>553</v>
      </c>
      <c r="E4">
        <v>601</v>
      </c>
      <c r="F4">
        <v>6</v>
      </c>
      <c r="G4">
        <v>29</v>
      </c>
      <c r="H4">
        <v>42</v>
      </c>
      <c r="I4">
        <v>27</v>
      </c>
      <c r="J4">
        <v>27</v>
      </c>
      <c r="K4">
        <v>23</v>
      </c>
      <c r="L4">
        <v>14</v>
      </c>
      <c r="M4">
        <v>3</v>
      </c>
      <c r="N4">
        <v>48</v>
      </c>
      <c r="O4">
        <v>36</v>
      </c>
      <c r="P4">
        <v>23</v>
      </c>
      <c r="Q4">
        <v>49</v>
      </c>
      <c r="R4">
        <v>37</v>
      </c>
      <c r="S4">
        <v>41</v>
      </c>
      <c r="T4">
        <v>31</v>
      </c>
      <c r="U4">
        <v>32</v>
      </c>
      <c r="V4">
        <v>34</v>
      </c>
      <c r="W4">
        <v>7</v>
      </c>
      <c r="X4">
        <v>38</v>
      </c>
      <c r="Y4">
        <v>24</v>
      </c>
      <c r="Z4">
        <v>19</v>
      </c>
      <c r="AA4">
        <v>22</v>
      </c>
      <c r="AB4">
        <v>43</v>
      </c>
      <c r="AC4">
        <v>39</v>
      </c>
      <c r="AD4">
        <v>26</v>
      </c>
      <c r="AE4">
        <v>40</v>
      </c>
      <c r="AF4">
        <v>10</v>
      </c>
      <c r="AG4">
        <v>30</v>
      </c>
      <c r="AH4">
        <v>48</v>
      </c>
      <c r="AI4">
        <v>20</v>
      </c>
      <c r="AJ4">
        <v>46</v>
      </c>
      <c r="AK4">
        <v>32</v>
      </c>
      <c r="AL4">
        <v>43</v>
      </c>
      <c r="AM4">
        <v>32</v>
      </c>
      <c r="AN4">
        <v>47</v>
      </c>
      <c r="AO4">
        <v>45</v>
      </c>
      <c r="AP4">
        <v>4</v>
      </c>
      <c r="AQ4">
        <v>23</v>
      </c>
      <c r="AR4">
        <v>46</v>
      </c>
      <c r="AS4">
        <v>14</v>
      </c>
      <c r="AT4">
        <v>14</v>
      </c>
      <c r="AU4">
        <v>26</v>
      </c>
      <c r="AV4">
        <v>25</v>
      </c>
      <c r="AW4">
        <v>32</v>
      </c>
      <c r="AX4">
        <v>11</v>
      </c>
      <c r="AY4">
        <v>11</v>
      </c>
      <c r="AZ4">
        <v>33</v>
      </c>
      <c r="BA4">
        <v>17</v>
      </c>
      <c r="BB4">
        <v>27</v>
      </c>
      <c r="BC4">
        <v>27</v>
      </c>
      <c r="BD4">
        <v>9</v>
      </c>
      <c r="BE4">
        <v>10</v>
      </c>
      <c r="BF4">
        <v>30101</v>
      </c>
      <c r="BG4">
        <v>3824</v>
      </c>
    </row>
    <row r="5" spans="1:59" x14ac:dyDescent="0.3">
      <c r="A5" s="3">
        <v>45295</v>
      </c>
      <c r="B5" t="s">
        <v>60</v>
      </c>
      <c r="C5">
        <v>1</v>
      </c>
      <c r="D5">
        <v>554</v>
      </c>
      <c r="E5">
        <v>602</v>
      </c>
      <c r="F5">
        <v>21</v>
      </c>
      <c r="G5">
        <v>27</v>
      </c>
      <c r="H5">
        <v>19</v>
      </c>
      <c r="I5">
        <v>26</v>
      </c>
      <c r="J5">
        <v>11</v>
      </c>
      <c r="K5">
        <v>0</v>
      </c>
      <c r="L5">
        <v>36</v>
      </c>
      <c r="M5">
        <v>49</v>
      </c>
      <c r="N5">
        <v>0</v>
      </c>
      <c r="O5">
        <v>15</v>
      </c>
      <c r="P5">
        <v>15</v>
      </c>
      <c r="Q5">
        <v>9</v>
      </c>
      <c r="R5">
        <v>10</v>
      </c>
      <c r="S5">
        <v>27</v>
      </c>
      <c r="T5">
        <v>39</v>
      </c>
      <c r="U5">
        <v>42</v>
      </c>
      <c r="V5">
        <v>24</v>
      </c>
      <c r="W5">
        <v>19</v>
      </c>
      <c r="X5">
        <v>40</v>
      </c>
      <c r="Y5">
        <v>18</v>
      </c>
      <c r="Z5">
        <v>19</v>
      </c>
      <c r="AA5">
        <v>30</v>
      </c>
      <c r="AB5">
        <v>25</v>
      </c>
      <c r="AC5">
        <v>30</v>
      </c>
      <c r="AD5">
        <v>2</v>
      </c>
      <c r="AE5">
        <v>45</v>
      </c>
      <c r="AF5">
        <v>25</v>
      </c>
      <c r="AG5">
        <v>1</v>
      </c>
      <c r="AH5">
        <v>6</v>
      </c>
      <c r="AI5">
        <v>20</v>
      </c>
      <c r="AJ5">
        <v>28</v>
      </c>
      <c r="AK5">
        <v>37</v>
      </c>
      <c r="AL5">
        <v>42</v>
      </c>
      <c r="AM5">
        <v>35</v>
      </c>
      <c r="AN5">
        <v>35</v>
      </c>
      <c r="AO5">
        <v>44</v>
      </c>
      <c r="AP5">
        <v>34</v>
      </c>
      <c r="AQ5">
        <v>38</v>
      </c>
      <c r="AR5">
        <v>36</v>
      </c>
      <c r="AS5">
        <v>21</v>
      </c>
      <c r="AT5">
        <v>41</v>
      </c>
      <c r="AU5">
        <v>37</v>
      </c>
      <c r="AV5">
        <v>33</v>
      </c>
      <c r="AW5">
        <v>16</v>
      </c>
      <c r="AX5">
        <v>13</v>
      </c>
      <c r="AY5">
        <v>35</v>
      </c>
      <c r="AZ5">
        <v>24</v>
      </c>
      <c r="BA5">
        <v>18</v>
      </c>
      <c r="BB5">
        <v>41</v>
      </c>
      <c r="BC5">
        <v>49</v>
      </c>
      <c r="BD5">
        <v>14</v>
      </c>
      <c r="BE5">
        <v>41</v>
      </c>
      <c r="BF5">
        <v>30652</v>
      </c>
      <c r="BG5">
        <v>3836</v>
      </c>
    </row>
    <row r="6" spans="1:59" x14ac:dyDescent="0.3">
      <c r="A6" s="3">
        <v>45296</v>
      </c>
      <c r="B6" t="s">
        <v>60</v>
      </c>
      <c r="C6">
        <v>1</v>
      </c>
      <c r="D6">
        <v>556</v>
      </c>
      <c r="E6">
        <v>602</v>
      </c>
      <c r="F6">
        <v>40</v>
      </c>
      <c r="G6">
        <v>9</v>
      </c>
      <c r="H6">
        <v>41</v>
      </c>
      <c r="I6">
        <v>31</v>
      </c>
      <c r="J6">
        <v>9</v>
      </c>
      <c r="K6">
        <v>47</v>
      </c>
      <c r="L6">
        <v>26</v>
      </c>
      <c r="M6">
        <v>43</v>
      </c>
      <c r="N6">
        <v>35</v>
      </c>
      <c r="O6">
        <v>28</v>
      </c>
      <c r="P6">
        <v>34</v>
      </c>
      <c r="Q6">
        <v>47</v>
      </c>
      <c r="R6">
        <v>20</v>
      </c>
      <c r="S6">
        <v>25</v>
      </c>
      <c r="T6">
        <v>31</v>
      </c>
      <c r="U6">
        <v>12</v>
      </c>
      <c r="V6">
        <v>36</v>
      </c>
      <c r="W6">
        <v>24</v>
      </c>
      <c r="X6">
        <v>48</v>
      </c>
      <c r="Y6">
        <v>32</v>
      </c>
      <c r="Z6">
        <v>14</v>
      </c>
      <c r="AA6">
        <v>40</v>
      </c>
      <c r="AB6">
        <v>11</v>
      </c>
      <c r="AC6">
        <v>21</v>
      </c>
      <c r="AD6">
        <v>33</v>
      </c>
      <c r="AE6">
        <v>48</v>
      </c>
      <c r="AF6">
        <v>9</v>
      </c>
      <c r="AG6">
        <v>43</v>
      </c>
      <c r="AH6">
        <v>7</v>
      </c>
      <c r="AI6">
        <v>43</v>
      </c>
      <c r="AJ6">
        <v>44</v>
      </c>
      <c r="AK6">
        <v>35</v>
      </c>
      <c r="AL6">
        <v>18</v>
      </c>
      <c r="AM6">
        <v>32</v>
      </c>
      <c r="AN6">
        <v>17</v>
      </c>
      <c r="AO6">
        <v>47</v>
      </c>
      <c r="AP6">
        <v>49</v>
      </c>
      <c r="AQ6">
        <v>38</v>
      </c>
      <c r="AR6">
        <v>2</v>
      </c>
      <c r="AS6">
        <v>6</v>
      </c>
      <c r="AT6">
        <v>8</v>
      </c>
      <c r="AU6">
        <v>24</v>
      </c>
      <c r="AV6">
        <v>7</v>
      </c>
      <c r="AW6">
        <v>10</v>
      </c>
      <c r="AX6">
        <v>43</v>
      </c>
      <c r="AY6">
        <v>5</v>
      </c>
      <c r="AZ6">
        <v>4</v>
      </c>
      <c r="BA6">
        <v>44</v>
      </c>
      <c r="BB6">
        <v>9</v>
      </c>
      <c r="BC6">
        <v>32</v>
      </c>
      <c r="BD6">
        <v>12</v>
      </c>
      <c r="BE6">
        <v>22</v>
      </c>
      <c r="BF6">
        <v>31202</v>
      </c>
      <c r="BG6">
        <v>3848</v>
      </c>
    </row>
    <row r="7" spans="1:59" x14ac:dyDescent="0.3">
      <c r="A7" s="3">
        <v>45297</v>
      </c>
      <c r="B7" t="s">
        <v>60</v>
      </c>
      <c r="C7">
        <v>1</v>
      </c>
      <c r="D7">
        <v>558</v>
      </c>
      <c r="E7">
        <v>603</v>
      </c>
      <c r="F7">
        <v>24</v>
      </c>
      <c r="G7">
        <v>20</v>
      </c>
      <c r="H7">
        <v>24</v>
      </c>
      <c r="I7">
        <v>8</v>
      </c>
      <c r="J7">
        <v>23</v>
      </c>
      <c r="K7">
        <v>5</v>
      </c>
      <c r="L7">
        <v>17</v>
      </c>
      <c r="M7">
        <v>43</v>
      </c>
      <c r="N7">
        <v>18</v>
      </c>
      <c r="O7">
        <v>27</v>
      </c>
      <c r="P7">
        <v>19</v>
      </c>
      <c r="Q7">
        <v>22</v>
      </c>
      <c r="R7">
        <v>38</v>
      </c>
      <c r="S7">
        <v>49</v>
      </c>
      <c r="T7">
        <v>14</v>
      </c>
      <c r="U7">
        <v>8</v>
      </c>
      <c r="V7">
        <v>26</v>
      </c>
      <c r="W7">
        <v>34</v>
      </c>
      <c r="X7">
        <v>32</v>
      </c>
      <c r="Y7">
        <v>5</v>
      </c>
      <c r="Z7">
        <v>16</v>
      </c>
      <c r="AA7">
        <v>46</v>
      </c>
      <c r="AB7">
        <v>22</v>
      </c>
      <c r="AC7">
        <v>9</v>
      </c>
      <c r="AD7">
        <v>15</v>
      </c>
      <c r="AE7">
        <v>27</v>
      </c>
      <c r="AF7">
        <v>2</v>
      </c>
      <c r="AG7">
        <v>40</v>
      </c>
      <c r="AH7">
        <v>1</v>
      </c>
      <c r="AI7">
        <v>5</v>
      </c>
      <c r="AJ7">
        <v>38</v>
      </c>
      <c r="AK7">
        <v>30</v>
      </c>
      <c r="AL7">
        <v>40</v>
      </c>
      <c r="AM7">
        <v>42</v>
      </c>
      <c r="AN7">
        <v>18</v>
      </c>
      <c r="AO7">
        <v>45</v>
      </c>
      <c r="AP7">
        <v>6</v>
      </c>
      <c r="AQ7">
        <v>41</v>
      </c>
      <c r="AR7">
        <v>1</v>
      </c>
      <c r="AS7">
        <v>26</v>
      </c>
      <c r="AT7">
        <v>43</v>
      </c>
      <c r="AU7">
        <v>6</v>
      </c>
      <c r="AV7">
        <v>21</v>
      </c>
      <c r="AW7">
        <v>20</v>
      </c>
      <c r="AX7">
        <v>8</v>
      </c>
      <c r="AY7">
        <v>0</v>
      </c>
      <c r="AZ7">
        <v>36</v>
      </c>
      <c r="BA7">
        <v>43</v>
      </c>
      <c r="BB7">
        <v>25</v>
      </c>
      <c r="BC7">
        <v>5</v>
      </c>
      <c r="BD7">
        <v>11</v>
      </c>
      <c r="BE7">
        <v>46</v>
      </c>
      <c r="BF7">
        <v>31753</v>
      </c>
      <c r="BG7">
        <v>3860</v>
      </c>
    </row>
    <row r="8" spans="1:59" x14ac:dyDescent="0.3">
      <c r="A8" s="3">
        <v>45298</v>
      </c>
      <c r="B8" t="s">
        <v>60</v>
      </c>
      <c r="C8">
        <v>1</v>
      </c>
      <c r="D8">
        <v>559</v>
      </c>
      <c r="E8">
        <v>604</v>
      </c>
      <c r="F8">
        <v>25</v>
      </c>
      <c r="G8">
        <v>41</v>
      </c>
      <c r="H8">
        <v>15</v>
      </c>
      <c r="I8">
        <v>39</v>
      </c>
      <c r="J8">
        <v>17</v>
      </c>
      <c r="K8">
        <v>14</v>
      </c>
      <c r="L8">
        <v>47</v>
      </c>
      <c r="M8">
        <v>30</v>
      </c>
      <c r="N8">
        <v>48</v>
      </c>
      <c r="O8">
        <v>2</v>
      </c>
      <c r="P8">
        <v>20</v>
      </c>
      <c r="Q8">
        <v>13</v>
      </c>
      <c r="R8">
        <v>10</v>
      </c>
      <c r="S8">
        <v>13</v>
      </c>
      <c r="T8">
        <v>4</v>
      </c>
      <c r="U8">
        <v>20</v>
      </c>
      <c r="V8">
        <v>8</v>
      </c>
      <c r="W8">
        <v>1</v>
      </c>
      <c r="X8">
        <v>48</v>
      </c>
      <c r="Y8">
        <v>38</v>
      </c>
      <c r="Z8">
        <v>6</v>
      </c>
      <c r="AA8">
        <v>11</v>
      </c>
      <c r="AB8">
        <v>7</v>
      </c>
      <c r="AC8">
        <v>12</v>
      </c>
      <c r="AD8">
        <v>25</v>
      </c>
      <c r="AE8">
        <v>37</v>
      </c>
      <c r="AF8">
        <v>36</v>
      </c>
      <c r="AG8">
        <v>15</v>
      </c>
      <c r="AH8">
        <v>10</v>
      </c>
      <c r="AI8">
        <v>9</v>
      </c>
      <c r="AJ8">
        <v>12</v>
      </c>
      <c r="AK8">
        <v>29</v>
      </c>
      <c r="AL8">
        <v>4</v>
      </c>
      <c r="AM8">
        <v>34</v>
      </c>
      <c r="AN8">
        <v>35</v>
      </c>
      <c r="AO8">
        <v>15</v>
      </c>
      <c r="AP8">
        <v>11</v>
      </c>
      <c r="AQ8">
        <v>31</v>
      </c>
      <c r="AR8">
        <v>33</v>
      </c>
      <c r="AS8">
        <v>21</v>
      </c>
      <c r="AT8">
        <v>41</v>
      </c>
      <c r="AU8">
        <v>39</v>
      </c>
      <c r="AV8">
        <v>29</v>
      </c>
      <c r="AW8">
        <v>17</v>
      </c>
      <c r="AX8">
        <v>27</v>
      </c>
      <c r="AY8">
        <v>43</v>
      </c>
      <c r="AZ8">
        <v>6</v>
      </c>
      <c r="BA8">
        <v>29</v>
      </c>
      <c r="BB8">
        <v>36</v>
      </c>
      <c r="BC8">
        <v>1</v>
      </c>
      <c r="BD8">
        <v>4</v>
      </c>
      <c r="BE8">
        <v>28</v>
      </c>
      <c r="BF8">
        <v>32304</v>
      </c>
      <c r="BG8">
        <v>3872</v>
      </c>
    </row>
    <row r="9" spans="1:59" x14ac:dyDescent="0.3">
      <c r="A9" s="3">
        <v>45299</v>
      </c>
      <c r="B9" t="s">
        <v>60</v>
      </c>
      <c r="C9">
        <v>1</v>
      </c>
      <c r="D9">
        <v>561</v>
      </c>
      <c r="E9">
        <v>604</v>
      </c>
      <c r="F9">
        <v>13</v>
      </c>
      <c r="G9">
        <v>22</v>
      </c>
      <c r="H9">
        <v>35</v>
      </c>
      <c r="I9">
        <v>42</v>
      </c>
      <c r="J9">
        <v>45</v>
      </c>
      <c r="K9">
        <v>49</v>
      </c>
      <c r="L9">
        <v>22</v>
      </c>
      <c r="M9">
        <v>17</v>
      </c>
      <c r="N9">
        <v>15</v>
      </c>
      <c r="O9">
        <v>41</v>
      </c>
      <c r="P9">
        <v>7</v>
      </c>
      <c r="Q9">
        <v>12</v>
      </c>
      <c r="R9">
        <v>8</v>
      </c>
      <c r="S9">
        <v>37</v>
      </c>
      <c r="T9">
        <v>21</v>
      </c>
      <c r="U9">
        <v>43</v>
      </c>
      <c r="V9">
        <v>29</v>
      </c>
      <c r="W9">
        <v>34</v>
      </c>
      <c r="X9">
        <v>24</v>
      </c>
      <c r="Y9">
        <v>6</v>
      </c>
      <c r="Z9">
        <v>5</v>
      </c>
      <c r="AA9">
        <v>21</v>
      </c>
      <c r="AB9">
        <v>11</v>
      </c>
      <c r="AC9">
        <v>10</v>
      </c>
      <c r="AD9">
        <v>29</v>
      </c>
      <c r="AE9">
        <v>45</v>
      </c>
      <c r="AF9">
        <v>41</v>
      </c>
      <c r="AG9">
        <v>48</v>
      </c>
      <c r="AH9">
        <v>3</v>
      </c>
      <c r="AI9">
        <v>25</v>
      </c>
      <c r="AJ9">
        <v>25</v>
      </c>
      <c r="AK9">
        <v>24</v>
      </c>
      <c r="AL9">
        <v>31</v>
      </c>
      <c r="AM9">
        <v>11</v>
      </c>
      <c r="AN9">
        <v>23</v>
      </c>
      <c r="AO9">
        <v>46</v>
      </c>
      <c r="AP9">
        <v>1</v>
      </c>
      <c r="AQ9">
        <v>4</v>
      </c>
      <c r="AR9">
        <v>40</v>
      </c>
      <c r="AS9">
        <v>24</v>
      </c>
      <c r="AT9">
        <v>42</v>
      </c>
      <c r="AU9">
        <v>47</v>
      </c>
      <c r="AV9">
        <v>33</v>
      </c>
      <c r="AW9">
        <v>12</v>
      </c>
      <c r="AX9">
        <v>26</v>
      </c>
      <c r="AY9">
        <v>13</v>
      </c>
      <c r="AZ9">
        <v>26</v>
      </c>
      <c r="BA9">
        <v>48</v>
      </c>
      <c r="BB9">
        <v>14</v>
      </c>
      <c r="BC9">
        <v>39</v>
      </c>
      <c r="BD9">
        <v>7</v>
      </c>
      <c r="BE9">
        <v>14</v>
      </c>
      <c r="BF9">
        <v>32854</v>
      </c>
      <c r="BG9">
        <v>3884</v>
      </c>
    </row>
    <row r="10" spans="1:59" x14ac:dyDescent="0.3">
      <c r="A10" s="3">
        <v>45300</v>
      </c>
      <c r="B10" t="s">
        <v>60</v>
      </c>
      <c r="C10">
        <v>1</v>
      </c>
      <c r="D10">
        <v>563</v>
      </c>
      <c r="E10">
        <v>605</v>
      </c>
      <c r="F10">
        <v>28</v>
      </c>
      <c r="G10">
        <v>41</v>
      </c>
      <c r="H10">
        <v>32</v>
      </c>
      <c r="I10">
        <v>42</v>
      </c>
      <c r="J10">
        <v>26</v>
      </c>
      <c r="K10">
        <v>3</v>
      </c>
      <c r="L10">
        <v>6</v>
      </c>
      <c r="M10">
        <v>37</v>
      </c>
      <c r="N10">
        <v>32</v>
      </c>
      <c r="O10">
        <v>44</v>
      </c>
      <c r="P10">
        <v>30</v>
      </c>
      <c r="Q10">
        <v>3</v>
      </c>
      <c r="R10">
        <v>7</v>
      </c>
      <c r="S10">
        <v>9</v>
      </c>
      <c r="T10">
        <v>33</v>
      </c>
      <c r="U10">
        <v>29</v>
      </c>
      <c r="V10">
        <v>20</v>
      </c>
      <c r="W10">
        <v>6</v>
      </c>
      <c r="X10">
        <v>29</v>
      </c>
      <c r="Y10">
        <v>4</v>
      </c>
      <c r="Z10">
        <v>18</v>
      </c>
      <c r="AA10">
        <v>16</v>
      </c>
      <c r="AB10">
        <v>31</v>
      </c>
      <c r="AC10">
        <v>21</v>
      </c>
      <c r="AD10">
        <v>20</v>
      </c>
      <c r="AE10">
        <v>24</v>
      </c>
      <c r="AF10">
        <v>25</v>
      </c>
      <c r="AG10">
        <v>6</v>
      </c>
      <c r="AH10">
        <v>16</v>
      </c>
      <c r="AI10">
        <v>43</v>
      </c>
      <c r="AJ10">
        <v>29</v>
      </c>
      <c r="AK10">
        <v>18</v>
      </c>
      <c r="AL10">
        <v>13</v>
      </c>
      <c r="AM10">
        <v>7</v>
      </c>
      <c r="AN10">
        <v>8</v>
      </c>
      <c r="AO10">
        <v>43</v>
      </c>
      <c r="AP10">
        <v>10</v>
      </c>
      <c r="AQ10">
        <v>27</v>
      </c>
      <c r="AR10">
        <v>21</v>
      </c>
      <c r="AS10">
        <v>16</v>
      </c>
      <c r="AT10">
        <v>31</v>
      </c>
      <c r="AU10">
        <v>26</v>
      </c>
      <c r="AV10">
        <v>15</v>
      </c>
      <c r="AW10">
        <v>9</v>
      </c>
      <c r="AX10">
        <v>33</v>
      </c>
      <c r="AY10">
        <v>25</v>
      </c>
      <c r="AZ10">
        <v>10</v>
      </c>
      <c r="BA10">
        <v>19</v>
      </c>
      <c r="BB10">
        <v>43</v>
      </c>
      <c r="BC10">
        <v>17</v>
      </c>
      <c r="BD10">
        <v>39</v>
      </c>
      <c r="BE10">
        <v>15</v>
      </c>
      <c r="BF10">
        <v>33405</v>
      </c>
      <c r="BG10">
        <v>3896</v>
      </c>
    </row>
    <row r="11" spans="1:59" x14ac:dyDescent="0.3">
      <c r="A11" s="3">
        <v>45301</v>
      </c>
      <c r="B11" t="s">
        <v>60</v>
      </c>
      <c r="C11">
        <v>1</v>
      </c>
      <c r="D11">
        <v>564</v>
      </c>
      <c r="E11">
        <v>606</v>
      </c>
      <c r="F11">
        <v>46</v>
      </c>
      <c r="G11">
        <v>11</v>
      </c>
      <c r="H11">
        <v>44</v>
      </c>
      <c r="I11">
        <v>32</v>
      </c>
      <c r="J11">
        <v>26</v>
      </c>
      <c r="K11">
        <v>12</v>
      </c>
      <c r="L11">
        <v>25</v>
      </c>
      <c r="M11">
        <v>16</v>
      </c>
      <c r="N11">
        <v>26</v>
      </c>
      <c r="O11">
        <v>8</v>
      </c>
      <c r="P11">
        <v>45</v>
      </c>
      <c r="Q11">
        <v>36</v>
      </c>
      <c r="R11">
        <v>42</v>
      </c>
      <c r="S11">
        <v>41</v>
      </c>
      <c r="T11">
        <v>35</v>
      </c>
      <c r="U11">
        <v>33</v>
      </c>
      <c r="V11">
        <v>29</v>
      </c>
      <c r="W11">
        <v>43</v>
      </c>
      <c r="X11">
        <v>20</v>
      </c>
      <c r="Y11">
        <v>0</v>
      </c>
      <c r="Z11">
        <v>45</v>
      </c>
      <c r="AA11">
        <v>34</v>
      </c>
      <c r="AB11">
        <v>45</v>
      </c>
      <c r="AC11">
        <v>1</v>
      </c>
      <c r="AD11">
        <v>41</v>
      </c>
      <c r="AE11">
        <v>1</v>
      </c>
      <c r="AF11">
        <v>21</v>
      </c>
      <c r="AG11">
        <v>5</v>
      </c>
      <c r="AH11">
        <v>41</v>
      </c>
      <c r="AI11">
        <v>49</v>
      </c>
      <c r="AJ11">
        <v>26</v>
      </c>
      <c r="AK11">
        <v>30</v>
      </c>
      <c r="AL11">
        <v>0</v>
      </c>
      <c r="AM11">
        <v>3</v>
      </c>
      <c r="AN11">
        <v>41</v>
      </c>
      <c r="AO11">
        <v>23</v>
      </c>
      <c r="AP11">
        <v>47</v>
      </c>
      <c r="AQ11">
        <v>45</v>
      </c>
      <c r="AR11">
        <v>33</v>
      </c>
      <c r="AS11">
        <v>35</v>
      </c>
      <c r="AT11">
        <v>22</v>
      </c>
      <c r="AU11">
        <v>6</v>
      </c>
      <c r="AV11">
        <v>4</v>
      </c>
      <c r="AW11">
        <v>19</v>
      </c>
      <c r="AX11">
        <v>37</v>
      </c>
      <c r="AY11">
        <v>18</v>
      </c>
      <c r="AZ11">
        <v>15</v>
      </c>
      <c r="BA11">
        <v>4</v>
      </c>
      <c r="BB11">
        <v>7</v>
      </c>
      <c r="BC11">
        <v>30</v>
      </c>
      <c r="BD11">
        <v>45</v>
      </c>
      <c r="BE11">
        <v>43</v>
      </c>
      <c r="BF11">
        <v>33956</v>
      </c>
      <c r="BG11">
        <v>3908</v>
      </c>
    </row>
    <row r="12" spans="1:59" x14ac:dyDescent="0.3">
      <c r="A12" s="3">
        <v>45302</v>
      </c>
      <c r="B12" t="s">
        <v>60</v>
      </c>
      <c r="C12">
        <v>1</v>
      </c>
      <c r="D12">
        <v>566</v>
      </c>
      <c r="E12">
        <v>606</v>
      </c>
      <c r="F12">
        <v>3</v>
      </c>
      <c r="G12">
        <v>33</v>
      </c>
      <c r="H12">
        <v>17</v>
      </c>
      <c r="I12">
        <v>25</v>
      </c>
      <c r="J12">
        <v>38</v>
      </c>
      <c r="K12">
        <v>8</v>
      </c>
      <c r="L12">
        <v>25</v>
      </c>
      <c r="M12">
        <v>34</v>
      </c>
      <c r="N12">
        <v>32</v>
      </c>
      <c r="O12">
        <v>6</v>
      </c>
      <c r="P12">
        <v>40</v>
      </c>
      <c r="Q12">
        <v>44</v>
      </c>
      <c r="R12">
        <v>17</v>
      </c>
      <c r="S12">
        <v>18</v>
      </c>
      <c r="T12">
        <v>8</v>
      </c>
      <c r="U12">
        <v>49</v>
      </c>
      <c r="V12">
        <v>23</v>
      </c>
      <c r="W12">
        <v>44</v>
      </c>
      <c r="X12">
        <v>40</v>
      </c>
      <c r="Y12">
        <v>0</v>
      </c>
      <c r="Z12">
        <v>15</v>
      </c>
      <c r="AA12">
        <v>11</v>
      </c>
      <c r="AB12">
        <v>20</v>
      </c>
      <c r="AC12">
        <v>38</v>
      </c>
      <c r="AD12">
        <v>6</v>
      </c>
      <c r="AE12">
        <v>42</v>
      </c>
      <c r="AF12">
        <v>19</v>
      </c>
      <c r="AG12">
        <v>28</v>
      </c>
      <c r="AH12">
        <v>22</v>
      </c>
      <c r="AI12">
        <v>28</v>
      </c>
      <c r="AJ12">
        <v>16</v>
      </c>
      <c r="AK12">
        <v>9</v>
      </c>
      <c r="AL12">
        <v>23</v>
      </c>
      <c r="AM12">
        <v>48</v>
      </c>
      <c r="AN12">
        <v>11</v>
      </c>
      <c r="AO12">
        <v>17</v>
      </c>
      <c r="AP12">
        <v>14</v>
      </c>
      <c r="AQ12">
        <v>0</v>
      </c>
      <c r="AR12">
        <v>44</v>
      </c>
      <c r="AS12">
        <v>22</v>
      </c>
      <c r="AT12">
        <v>46</v>
      </c>
      <c r="AU12">
        <v>25</v>
      </c>
      <c r="AV12">
        <v>35</v>
      </c>
      <c r="AW12">
        <v>23</v>
      </c>
      <c r="AX12">
        <v>43</v>
      </c>
      <c r="AY12">
        <v>2</v>
      </c>
      <c r="AZ12">
        <v>18</v>
      </c>
      <c r="BA12">
        <v>36</v>
      </c>
      <c r="BB12">
        <v>22</v>
      </c>
      <c r="BC12">
        <v>33</v>
      </c>
      <c r="BD12">
        <v>11</v>
      </c>
      <c r="BE12">
        <v>38</v>
      </c>
      <c r="BF12">
        <v>34506</v>
      </c>
      <c r="BG12">
        <v>3920</v>
      </c>
    </row>
    <row r="13" spans="1:59" x14ac:dyDescent="0.3">
      <c r="A13" s="3">
        <v>45303</v>
      </c>
      <c r="B13" t="s">
        <v>60</v>
      </c>
      <c r="C13">
        <v>1</v>
      </c>
      <c r="D13">
        <v>568</v>
      </c>
      <c r="E13">
        <v>607</v>
      </c>
      <c r="F13">
        <v>37</v>
      </c>
      <c r="G13">
        <v>11</v>
      </c>
      <c r="H13">
        <v>44</v>
      </c>
      <c r="I13">
        <v>38</v>
      </c>
      <c r="J13">
        <v>3</v>
      </c>
      <c r="K13">
        <v>41</v>
      </c>
      <c r="L13">
        <v>49</v>
      </c>
      <c r="M13">
        <v>20</v>
      </c>
      <c r="N13">
        <v>9</v>
      </c>
      <c r="O13">
        <v>17</v>
      </c>
      <c r="P13">
        <v>3</v>
      </c>
      <c r="Q13">
        <v>45</v>
      </c>
      <c r="R13">
        <v>34</v>
      </c>
      <c r="S13">
        <v>49</v>
      </c>
      <c r="T13">
        <v>21</v>
      </c>
      <c r="U13">
        <v>37</v>
      </c>
      <c r="V13">
        <v>24</v>
      </c>
      <c r="W13">
        <v>19</v>
      </c>
      <c r="X13">
        <v>49</v>
      </c>
      <c r="Y13">
        <v>27</v>
      </c>
      <c r="Z13">
        <v>11</v>
      </c>
      <c r="AA13">
        <v>34</v>
      </c>
      <c r="AB13">
        <v>3</v>
      </c>
      <c r="AC13">
        <v>42</v>
      </c>
      <c r="AD13">
        <v>25</v>
      </c>
      <c r="AE13">
        <v>24</v>
      </c>
      <c r="AF13">
        <v>33</v>
      </c>
      <c r="AG13">
        <v>24</v>
      </c>
      <c r="AH13">
        <v>33</v>
      </c>
      <c r="AI13">
        <v>46</v>
      </c>
      <c r="AJ13">
        <v>22</v>
      </c>
      <c r="AK13">
        <v>14</v>
      </c>
      <c r="AL13">
        <v>32</v>
      </c>
      <c r="AM13">
        <v>44</v>
      </c>
      <c r="AN13">
        <v>23</v>
      </c>
      <c r="AO13">
        <v>45</v>
      </c>
      <c r="AP13">
        <v>13</v>
      </c>
      <c r="AQ13">
        <v>14</v>
      </c>
      <c r="AR13">
        <v>26</v>
      </c>
      <c r="AS13">
        <v>18</v>
      </c>
      <c r="AT13">
        <v>29</v>
      </c>
      <c r="AU13">
        <v>19</v>
      </c>
      <c r="AV13">
        <v>14</v>
      </c>
      <c r="AW13">
        <v>7</v>
      </c>
      <c r="AX13">
        <v>12</v>
      </c>
      <c r="AY13">
        <v>47</v>
      </c>
      <c r="AZ13">
        <v>7</v>
      </c>
      <c r="BA13">
        <v>29</v>
      </c>
      <c r="BB13">
        <v>32</v>
      </c>
      <c r="BC13">
        <v>33</v>
      </c>
      <c r="BD13">
        <v>9</v>
      </c>
      <c r="BE13">
        <v>25</v>
      </c>
      <c r="BF13">
        <v>35057</v>
      </c>
      <c r="BG13">
        <v>3932</v>
      </c>
    </row>
    <row r="14" spans="1:59" x14ac:dyDescent="0.3">
      <c r="A14" s="3">
        <v>45304</v>
      </c>
      <c r="B14" t="s">
        <v>60</v>
      </c>
      <c r="C14">
        <v>1</v>
      </c>
      <c r="D14">
        <v>569</v>
      </c>
      <c r="E14">
        <v>608</v>
      </c>
      <c r="F14">
        <v>15</v>
      </c>
      <c r="G14">
        <v>26</v>
      </c>
      <c r="H14">
        <v>13</v>
      </c>
      <c r="I14">
        <v>5</v>
      </c>
      <c r="J14">
        <v>15</v>
      </c>
      <c r="K14">
        <v>37</v>
      </c>
      <c r="L14">
        <v>6</v>
      </c>
      <c r="M14">
        <v>15</v>
      </c>
      <c r="N14">
        <v>32</v>
      </c>
      <c r="O14">
        <v>46</v>
      </c>
      <c r="P14">
        <v>2</v>
      </c>
      <c r="Q14">
        <v>17</v>
      </c>
      <c r="R14">
        <v>17</v>
      </c>
      <c r="S14">
        <v>4</v>
      </c>
      <c r="T14">
        <v>25</v>
      </c>
      <c r="U14">
        <v>3</v>
      </c>
      <c r="V14">
        <v>8</v>
      </c>
      <c r="W14">
        <v>47</v>
      </c>
      <c r="X14">
        <v>3</v>
      </c>
      <c r="Y14">
        <v>27</v>
      </c>
      <c r="Z14">
        <v>7</v>
      </c>
      <c r="AA14">
        <v>32</v>
      </c>
      <c r="AB14">
        <v>16</v>
      </c>
      <c r="AC14">
        <v>14</v>
      </c>
      <c r="AD14">
        <v>44</v>
      </c>
      <c r="AE14">
        <v>6</v>
      </c>
      <c r="AF14">
        <v>42</v>
      </c>
      <c r="AG14">
        <v>4</v>
      </c>
      <c r="AH14">
        <v>1</v>
      </c>
      <c r="AI14">
        <v>34</v>
      </c>
      <c r="AJ14">
        <v>40</v>
      </c>
      <c r="AK14">
        <v>46</v>
      </c>
      <c r="AL14">
        <v>28</v>
      </c>
      <c r="AM14">
        <v>15</v>
      </c>
      <c r="AN14">
        <v>17</v>
      </c>
      <c r="AO14">
        <v>13</v>
      </c>
      <c r="AP14">
        <v>43</v>
      </c>
      <c r="AQ14">
        <v>22</v>
      </c>
      <c r="AR14">
        <v>1</v>
      </c>
      <c r="AS14">
        <v>34</v>
      </c>
      <c r="AT14">
        <v>27</v>
      </c>
      <c r="AU14">
        <v>8</v>
      </c>
      <c r="AV14">
        <v>44</v>
      </c>
      <c r="AW14">
        <v>26</v>
      </c>
      <c r="AX14">
        <v>34</v>
      </c>
      <c r="AY14">
        <v>5</v>
      </c>
      <c r="AZ14">
        <v>17</v>
      </c>
      <c r="BA14">
        <v>10</v>
      </c>
      <c r="BB14">
        <v>4</v>
      </c>
      <c r="BC14">
        <v>25</v>
      </c>
      <c r="BD14">
        <v>6</v>
      </c>
      <c r="BE14">
        <v>18</v>
      </c>
      <c r="BF14">
        <v>35608</v>
      </c>
      <c r="BG14">
        <v>3944</v>
      </c>
    </row>
    <row r="15" spans="1:59" x14ac:dyDescent="0.3">
      <c r="A15" s="3">
        <v>45305</v>
      </c>
      <c r="B15" t="s">
        <v>60</v>
      </c>
      <c r="C15">
        <v>1</v>
      </c>
      <c r="D15">
        <v>571</v>
      </c>
      <c r="E15">
        <v>608</v>
      </c>
      <c r="F15">
        <v>2</v>
      </c>
      <c r="G15">
        <v>44</v>
      </c>
      <c r="H15">
        <v>33</v>
      </c>
      <c r="I15">
        <v>21</v>
      </c>
      <c r="J15">
        <v>42</v>
      </c>
      <c r="K15">
        <v>3</v>
      </c>
      <c r="L15">
        <v>48</v>
      </c>
      <c r="M15">
        <v>32</v>
      </c>
      <c r="N15">
        <v>29</v>
      </c>
      <c r="O15">
        <v>43</v>
      </c>
      <c r="P15">
        <v>48</v>
      </c>
      <c r="Q15">
        <v>40</v>
      </c>
      <c r="R15">
        <v>40</v>
      </c>
      <c r="S15">
        <v>24</v>
      </c>
      <c r="T15">
        <v>33</v>
      </c>
      <c r="U15">
        <v>18</v>
      </c>
      <c r="V15">
        <v>13</v>
      </c>
      <c r="W15">
        <v>31</v>
      </c>
      <c r="X15">
        <v>12</v>
      </c>
      <c r="Y15">
        <v>15</v>
      </c>
      <c r="Z15">
        <v>30</v>
      </c>
      <c r="AA15">
        <v>30</v>
      </c>
      <c r="AB15">
        <v>47</v>
      </c>
      <c r="AC15">
        <v>1</v>
      </c>
      <c r="AD15">
        <v>8</v>
      </c>
      <c r="AE15">
        <v>42</v>
      </c>
      <c r="AF15">
        <v>39</v>
      </c>
      <c r="AG15">
        <v>49</v>
      </c>
      <c r="AH15">
        <v>47</v>
      </c>
      <c r="AI15">
        <v>13</v>
      </c>
      <c r="AJ15">
        <v>48</v>
      </c>
      <c r="AK15">
        <v>28</v>
      </c>
      <c r="AL15">
        <v>39</v>
      </c>
      <c r="AM15">
        <v>32</v>
      </c>
      <c r="AN15">
        <v>5</v>
      </c>
      <c r="AO15">
        <v>8</v>
      </c>
      <c r="AP15">
        <v>11</v>
      </c>
      <c r="AQ15">
        <v>6</v>
      </c>
      <c r="AR15">
        <v>11</v>
      </c>
      <c r="AS15">
        <v>46</v>
      </c>
      <c r="AT15">
        <v>44</v>
      </c>
      <c r="AU15">
        <v>18</v>
      </c>
      <c r="AV15">
        <v>22</v>
      </c>
      <c r="AW15">
        <v>25</v>
      </c>
      <c r="AX15">
        <v>46</v>
      </c>
      <c r="AY15">
        <v>10</v>
      </c>
      <c r="AZ15">
        <v>40</v>
      </c>
      <c r="BA15">
        <v>47</v>
      </c>
      <c r="BB15">
        <v>24</v>
      </c>
      <c r="BC15">
        <v>12</v>
      </c>
      <c r="BD15">
        <v>20</v>
      </c>
      <c r="BE15">
        <v>25</v>
      </c>
      <c r="BF15">
        <v>36158</v>
      </c>
      <c r="BG15">
        <v>3956</v>
      </c>
    </row>
    <row r="16" spans="1:59" x14ac:dyDescent="0.3">
      <c r="A16" s="3">
        <v>45306</v>
      </c>
      <c r="B16" t="s">
        <v>60</v>
      </c>
      <c r="C16">
        <v>1</v>
      </c>
      <c r="D16">
        <v>573</v>
      </c>
      <c r="E16">
        <v>609</v>
      </c>
      <c r="F16">
        <v>17</v>
      </c>
      <c r="G16">
        <v>47</v>
      </c>
      <c r="H16">
        <v>46</v>
      </c>
      <c r="I16">
        <v>45</v>
      </c>
      <c r="J16">
        <v>21</v>
      </c>
      <c r="K16">
        <v>22</v>
      </c>
      <c r="L16">
        <v>10</v>
      </c>
      <c r="M16">
        <v>16</v>
      </c>
      <c r="N16">
        <v>24</v>
      </c>
      <c r="O16">
        <v>11</v>
      </c>
      <c r="P16">
        <v>49</v>
      </c>
      <c r="Q16">
        <v>5</v>
      </c>
      <c r="R16">
        <v>5</v>
      </c>
      <c r="S16">
        <v>34</v>
      </c>
      <c r="T16">
        <v>32</v>
      </c>
      <c r="U16">
        <v>15</v>
      </c>
      <c r="V16">
        <v>39</v>
      </c>
      <c r="W16">
        <v>8</v>
      </c>
      <c r="X16">
        <v>15</v>
      </c>
      <c r="Y16">
        <v>49</v>
      </c>
      <c r="Z16">
        <v>25</v>
      </c>
      <c r="AA16">
        <v>2</v>
      </c>
      <c r="AB16">
        <v>25</v>
      </c>
      <c r="AC16">
        <v>4</v>
      </c>
      <c r="AD16">
        <v>2</v>
      </c>
      <c r="AE16">
        <v>49</v>
      </c>
      <c r="AF16">
        <v>25</v>
      </c>
      <c r="AG16">
        <v>26</v>
      </c>
      <c r="AH16">
        <v>4</v>
      </c>
      <c r="AI16">
        <v>33</v>
      </c>
      <c r="AJ16">
        <v>44</v>
      </c>
      <c r="AK16">
        <v>3</v>
      </c>
      <c r="AL16">
        <v>39</v>
      </c>
      <c r="AM16">
        <v>36</v>
      </c>
      <c r="AN16">
        <v>25</v>
      </c>
      <c r="AO16">
        <v>2</v>
      </c>
      <c r="AP16">
        <v>40</v>
      </c>
      <c r="AQ16">
        <v>2</v>
      </c>
      <c r="AR16">
        <v>3</v>
      </c>
      <c r="AS16">
        <v>1</v>
      </c>
      <c r="AT16">
        <v>44</v>
      </c>
      <c r="AU16">
        <v>4</v>
      </c>
      <c r="AV16">
        <v>44</v>
      </c>
      <c r="AW16">
        <v>13</v>
      </c>
      <c r="AX16">
        <v>5</v>
      </c>
      <c r="AY16">
        <v>17</v>
      </c>
      <c r="AZ16">
        <v>7</v>
      </c>
      <c r="BA16">
        <v>45</v>
      </c>
      <c r="BB16">
        <v>43</v>
      </c>
      <c r="BC16">
        <v>48</v>
      </c>
      <c r="BD16">
        <v>8</v>
      </c>
      <c r="BE16">
        <v>27</v>
      </c>
      <c r="BF16">
        <v>36709</v>
      </c>
      <c r="BG16">
        <v>3968</v>
      </c>
    </row>
    <row r="17" spans="1:59" x14ac:dyDescent="0.3">
      <c r="A17" s="3">
        <v>45307</v>
      </c>
      <c r="B17" t="s">
        <v>60</v>
      </c>
      <c r="C17">
        <v>1</v>
      </c>
      <c r="D17">
        <v>574</v>
      </c>
      <c r="E17">
        <v>610</v>
      </c>
      <c r="F17">
        <v>45</v>
      </c>
      <c r="G17">
        <v>34</v>
      </c>
      <c r="H17">
        <v>8</v>
      </c>
      <c r="I17">
        <v>9</v>
      </c>
      <c r="J17">
        <v>45</v>
      </c>
      <c r="K17">
        <v>20</v>
      </c>
      <c r="L17">
        <v>4</v>
      </c>
      <c r="M17">
        <v>18</v>
      </c>
      <c r="N17">
        <v>38</v>
      </c>
      <c r="O17">
        <v>4</v>
      </c>
      <c r="P17">
        <v>35</v>
      </c>
      <c r="Q17">
        <v>40</v>
      </c>
      <c r="R17">
        <v>48</v>
      </c>
      <c r="S17">
        <v>27</v>
      </c>
      <c r="T17">
        <v>34</v>
      </c>
      <c r="U17">
        <v>38</v>
      </c>
      <c r="V17">
        <v>23</v>
      </c>
      <c r="W17">
        <v>40</v>
      </c>
      <c r="X17">
        <v>21</v>
      </c>
      <c r="Y17">
        <v>16</v>
      </c>
      <c r="Z17">
        <v>15</v>
      </c>
      <c r="AA17">
        <v>18</v>
      </c>
      <c r="AB17">
        <v>42</v>
      </c>
      <c r="AC17">
        <v>11</v>
      </c>
      <c r="AD17">
        <v>10</v>
      </c>
      <c r="AE17">
        <v>30</v>
      </c>
      <c r="AF17">
        <v>27</v>
      </c>
      <c r="AG17">
        <v>31</v>
      </c>
      <c r="AH17">
        <v>21</v>
      </c>
      <c r="AI17">
        <v>39</v>
      </c>
      <c r="AJ17">
        <v>12</v>
      </c>
      <c r="AK17">
        <v>41</v>
      </c>
      <c r="AL17">
        <v>37</v>
      </c>
      <c r="AM17">
        <v>28</v>
      </c>
      <c r="AN17">
        <v>15</v>
      </c>
      <c r="AO17">
        <v>47</v>
      </c>
      <c r="AP17">
        <v>30</v>
      </c>
      <c r="AQ17">
        <v>7</v>
      </c>
      <c r="AR17">
        <v>38</v>
      </c>
      <c r="AS17">
        <v>14</v>
      </c>
      <c r="AT17">
        <v>43</v>
      </c>
      <c r="AU17">
        <v>3</v>
      </c>
      <c r="AV17">
        <v>38</v>
      </c>
      <c r="AW17">
        <v>26</v>
      </c>
      <c r="AX17">
        <v>43</v>
      </c>
      <c r="AY17">
        <v>37</v>
      </c>
      <c r="AZ17">
        <v>6</v>
      </c>
      <c r="BA17">
        <v>30</v>
      </c>
      <c r="BB17">
        <v>6</v>
      </c>
      <c r="BC17">
        <v>1</v>
      </c>
      <c r="BD17">
        <v>2</v>
      </c>
      <c r="BE17">
        <v>34</v>
      </c>
      <c r="BF17">
        <v>37260</v>
      </c>
      <c r="BG17">
        <v>3980</v>
      </c>
    </row>
    <row r="18" spans="1:59" x14ac:dyDescent="0.3">
      <c r="A18" s="3">
        <v>45308</v>
      </c>
      <c r="B18" t="s">
        <v>60</v>
      </c>
      <c r="C18">
        <v>1</v>
      </c>
      <c r="D18">
        <v>576</v>
      </c>
      <c r="E18">
        <v>610</v>
      </c>
      <c r="F18">
        <v>13</v>
      </c>
      <c r="G18">
        <v>0</v>
      </c>
      <c r="H18">
        <v>22</v>
      </c>
      <c r="I18">
        <v>14</v>
      </c>
      <c r="J18">
        <v>44</v>
      </c>
      <c r="K18">
        <v>15</v>
      </c>
      <c r="L18">
        <v>4</v>
      </c>
      <c r="M18">
        <v>6</v>
      </c>
      <c r="N18">
        <v>37</v>
      </c>
      <c r="O18">
        <v>37</v>
      </c>
      <c r="P18">
        <v>45</v>
      </c>
      <c r="Q18">
        <v>1</v>
      </c>
      <c r="R18">
        <v>45</v>
      </c>
      <c r="S18">
        <v>21</v>
      </c>
      <c r="T18">
        <v>40</v>
      </c>
      <c r="U18">
        <v>37</v>
      </c>
      <c r="V18">
        <v>0</v>
      </c>
      <c r="W18">
        <v>38</v>
      </c>
      <c r="X18">
        <v>4</v>
      </c>
      <c r="Y18">
        <v>3</v>
      </c>
      <c r="Z18">
        <v>21</v>
      </c>
      <c r="AA18">
        <v>46</v>
      </c>
      <c r="AB18">
        <v>33</v>
      </c>
      <c r="AC18">
        <v>12</v>
      </c>
      <c r="AD18">
        <v>31</v>
      </c>
      <c r="AE18">
        <v>19</v>
      </c>
      <c r="AF18">
        <v>10</v>
      </c>
      <c r="AG18">
        <v>9</v>
      </c>
      <c r="AH18">
        <v>2</v>
      </c>
      <c r="AI18">
        <v>6</v>
      </c>
      <c r="AJ18">
        <v>23</v>
      </c>
      <c r="AK18">
        <v>25</v>
      </c>
      <c r="AL18">
        <v>41</v>
      </c>
      <c r="AM18">
        <v>34</v>
      </c>
      <c r="AN18">
        <v>48</v>
      </c>
      <c r="AO18">
        <v>24</v>
      </c>
      <c r="AP18">
        <v>35</v>
      </c>
      <c r="AQ18">
        <v>39</v>
      </c>
      <c r="AR18">
        <v>39</v>
      </c>
      <c r="AS18">
        <v>16</v>
      </c>
      <c r="AT18">
        <v>5</v>
      </c>
      <c r="AU18">
        <v>30</v>
      </c>
      <c r="AV18">
        <v>3</v>
      </c>
      <c r="AW18">
        <v>28</v>
      </c>
      <c r="AX18">
        <v>38</v>
      </c>
      <c r="AY18">
        <v>16</v>
      </c>
      <c r="AZ18">
        <v>31</v>
      </c>
      <c r="BA18">
        <v>26</v>
      </c>
      <c r="BB18">
        <v>44</v>
      </c>
      <c r="BC18">
        <v>39</v>
      </c>
      <c r="BD18">
        <v>9</v>
      </c>
      <c r="BE18">
        <v>5</v>
      </c>
      <c r="BF18">
        <v>37810</v>
      </c>
      <c r="BG18">
        <v>3992</v>
      </c>
    </row>
    <row r="19" spans="1:59" x14ac:dyDescent="0.3">
      <c r="A19" s="3">
        <v>45309</v>
      </c>
      <c r="B19" t="s">
        <v>60</v>
      </c>
      <c r="C19">
        <v>1</v>
      </c>
      <c r="D19">
        <v>577</v>
      </c>
      <c r="E19">
        <v>611</v>
      </c>
      <c r="F19">
        <v>15</v>
      </c>
      <c r="G19">
        <v>9</v>
      </c>
      <c r="H19">
        <v>16</v>
      </c>
      <c r="I19">
        <v>3</v>
      </c>
      <c r="J19">
        <v>10</v>
      </c>
      <c r="K19">
        <v>24</v>
      </c>
      <c r="L19">
        <v>7</v>
      </c>
      <c r="M19">
        <v>18</v>
      </c>
      <c r="N19">
        <v>31</v>
      </c>
      <c r="O19">
        <v>28</v>
      </c>
      <c r="P19">
        <v>3</v>
      </c>
      <c r="Q19">
        <v>37</v>
      </c>
      <c r="R19">
        <v>5</v>
      </c>
      <c r="S19">
        <v>42</v>
      </c>
      <c r="T19">
        <v>22</v>
      </c>
      <c r="U19">
        <v>20</v>
      </c>
      <c r="V19">
        <v>22</v>
      </c>
      <c r="W19">
        <v>2</v>
      </c>
      <c r="X19">
        <v>3</v>
      </c>
      <c r="Y19">
        <v>33</v>
      </c>
      <c r="Z19">
        <v>12</v>
      </c>
      <c r="AA19">
        <v>37</v>
      </c>
      <c r="AB19">
        <v>48</v>
      </c>
      <c r="AC19">
        <v>27</v>
      </c>
      <c r="AD19">
        <v>48</v>
      </c>
      <c r="AE19">
        <v>32</v>
      </c>
      <c r="AF19">
        <v>37</v>
      </c>
      <c r="AG19">
        <v>35</v>
      </c>
      <c r="AH19">
        <v>26</v>
      </c>
      <c r="AI19">
        <v>49</v>
      </c>
      <c r="AJ19">
        <v>46</v>
      </c>
      <c r="AK19">
        <v>11</v>
      </c>
      <c r="AL19">
        <v>9</v>
      </c>
      <c r="AM19">
        <v>31</v>
      </c>
      <c r="AN19">
        <v>13</v>
      </c>
      <c r="AO19">
        <v>45</v>
      </c>
      <c r="AP19">
        <v>29</v>
      </c>
      <c r="AQ19">
        <v>15</v>
      </c>
      <c r="AR19">
        <v>34</v>
      </c>
      <c r="AS19">
        <v>28</v>
      </c>
      <c r="AT19">
        <v>21</v>
      </c>
      <c r="AU19">
        <v>43</v>
      </c>
      <c r="AV19">
        <v>4</v>
      </c>
      <c r="AW19">
        <v>24</v>
      </c>
      <c r="AX19">
        <v>33</v>
      </c>
      <c r="AY19">
        <v>44</v>
      </c>
      <c r="AZ19">
        <v>43</v>
      </c>
      <c r="BA19">
        <v>6</v>
      </c>
      <c r="BB19">
        <v>21</v>
      </c>
      <c r="BC19">
        <v>49</v>
      </c>
      <c r="BD19">
        <v>44</v>
      </c>
      <c r="BE19">
        <v>22</v>
      </c>
      <c r="BF19">
        <v>38361</v>
      </c>
      <c r="BG19">
        <v>4004</v>
      </c>
    </row>
    <row r="20" spans="1:59" x14ac:dyDescent="0.3">
      <c r="A20" s="3">
        <v>45310</v>
      </c>
      <c r="B20" t="s">
        <v>60</v>
      </c>
      <c r="C20">
        <v>1</v>
      </c>
      <c r="D20">
        <v>579</v>
      </c>
      <c r="E20">
        <v>612</v>
      </c>
      <c r="F20">
        <v>12</v>
      </c>
      <c r="G20">
        <v>32</v>
      </c>
      <c r="H20">
        <v>10</v>
      </c>
      <c r="I20">
        <v>17</v>
      </c>
      <c r="J20">
        <v>47</v>
      </c>
      <c r="K20">
        <v>26</v>
      </c>
      <c r="L20">
        <v>25</v>
      </c>
      <c r="M20">
        <v>3</v>
      </c>
      <c r="N20">
        <v>1</v>
      </c>
      <c r="O20">
        <v>30</v>
      </c>
      <c r="P20">
        <v>48</v>
      </c>
      <c r="Q20">
        <v>10</v>
      </c>
      <c r="R20">
        <v>11</v>
      </c>
      <c r="S20">
        <v>6</v>
      </c>
      <c r="T20">
        <v>22</v>
      </c>
      <c r="U20">
        <v>17</v>
      </c>
      <c r="V20">
        <v>11</v>
      </c>
      <c r="W20">
        <v>30</v>
      </c>
      <c r="X20">
        <v>49</v>
      </c>
      <c r="Y20">
        <v>19</v>
      </c>
      <c r="Z20">
        <v>44</v>
      </c>
      <c r="AA20">
        <v>2</v>
      </c>
      <c r="AB20">
        <v>1</v>
      </c>
      <c r="AC20">
        <v>35</v>
      </c>
      <c r="AD20">
        <v>47</v>
      </c>
      <c r="AE20">
        <v>13</v>
      </c>
      <c r="AF20">
        <v>19</v>
      </c>
      <c r="AG20">
        <v>17</v>
      </c>
      <c r="AH20">
        <v>13</v>
      </c>
      <c r="AI20">
        <v>39</v>
      </c>
      <c r="AJ20">
        <v>17</v>
      </c>
      <c r="AK20">
        <v>16</v>
      </c>
      <c r="AL20">
        <v>23</v>
      </c>
      <c r="AM20">
        <v>22</v>
      </c>
      <c r="AN20">
        <v>2</v>
      </c>
      <c r="AO20">
        <v>6</v>
      </c>
      <c r="AP20">
        <v>31</v>
      </c>
      <c r="AQ20">
        <v>30</v>
      </c>
      <c r="AR20">
        <v>15</v>
      </c>
      <c r="AS20">
        <v>45</v>
      </c>
      <c r="AT20">
        <v>47</v>
      </c>
      <c r="AU20">
        <v>29</v>
      </c>
      <c r="AV20">
        <v>4</v>
      </c>
      <c r="AW20">
        <v>37</v>
      </c>
      <c r="AX20">
        <v>49</v>
      </c>
      <c r="AY20">
        <v>4</v>
      </c>
      <c r="AZ20">
        <v>20</v>
      </c>
      <c r="BA20">
        <v>40</v>
      </c>
      <c r="BB20">
        <v>1</v>
      </c>
      <c r="BC20">
        <v>31</v>
      </c>
      <c r="BD20">
        <v>38</v>
      </c>
      <c r="BE20">
        <v>4</v>
      </c>
      <c r="BF20">
        <v>38912</v>
      </c>
      <c r="BG20">
        <v>4016</v>
      </c>
    </row>
    <row r="21" spans="1:59" x14ac:dyDescent="0.3">
      <c r="A21" s="3">
        <v>45311</v>
      </c>
      <c r="B21" t="s">
        <v>60</v>
      </c>
      <c r="C21">
        <v>1</v>
      </c>
      <c r="D21">
        <v>581</v>
      </c>
      <c r="E21">
        <v>613</v>
      </c>
      <c r="F21">
        <v>31</v>
      </c>
      <c r="G21">
        <v>46</v>
      </c>
      <c r="H21">
        <v>48</v>
      </c>
      <c r="I21">
        <v>31</v>
      </c>
      <c r="J21">
        <v>4</v>
      </c>
      <c r="K21">
        <v>43</v>
      </c>
      <c r="L21">
        <v>30</v>
      </c>
      <c r="M21">
        <v>37</v>
      </c>
      <c r="N21">
        <v>8</v>
      </c>
      <c r="O21">
        <v>1</v>
      </c>
      <c r="P21">
        <v>15</v>
      </c>
      <c r="Q21">
        <v>40</v>
      </c>
      <c r="R21">
        <v>8</v>
      </c>
      <c r="S21">
        <v>17</v>
      </c>
      <c r="T21">
        <v>32</v>
      </c>
      <c r="U21">
        <v>49</v>
      </c>
      <c r="V21">
        <v>40</v>
      </c>
      <c r="W21">
        <v>18</v>
      </c>
      <c r="X21">
        <v>11</v>
      </c>
      <c r="Y21">
        <v>8</v>
      </c>
      <c r="Z21">
        <v>21</v>
      </c>
      <c r="AA21">
        <v>18</v>
      </c>
      <c r="AB21">
        <v>30</v>
      </c>
      <c r="AC21">
        <v>9</v>
      </c>
      <c r="AD21">
        <v>35</v>
      </c>
      <c r="AE21">
        <v>25</v>
      </c>
      <c r="AF21">
        <v>17</v>
      </c>
      <c r="AG21">
        <v>34</v>
      </c>
      <c r="AH21">
        <v>14</v>
      </c>
      <c r="AI21">
        <v>23</v>
      </c>
      <c r="AJ21">
        <v>39</v>
      </c>
      <c r="AK21">
        <v>22</v>
      </c>
      <c r="AL21">
        <v>36</v>
      </c>
      <c r="AM21">
        <v>6</v>
      </c>
      <c r="AN21">
        <v>26</v>
      </c>
      <c r="AO21">
        <v>32</v>
      </c>
      <c r="AP21">
        <v>45</v>
      </c>
      <c r="AQ21">
        <v>41</v>
      </c>
      <c r="AR21">
        <v>7</v>
      </c>
      <c r="AS21">
        <v>19</v>
      </c>
      <c r="AT21">
        <v>17</v>
      </c>
      <c r="AU21">
        <v>0</v>
      </c>
      <c r="AV21">
        <v>49</v>
      </c>
      <c r="AW21">
        <v>32</v>
      </c>
      <c r="AX21">
        <v>24</v>
      </c>
      <c r="AY21">
        <v>19</v>
      </c>
      <c r="AZ21">
        <v>4</v>
      </c>
      <c r="BA21">
        <v>6</v>
      </c>
      <c r="BB21">
        <v>6</v>
      </c>
      <c r="BC21">
        <v>2</v>
      </c>
      <c r="BD21">
        <v>25</v>
      </c>
      <c r="BE21">
        <v>42</v>
      </c>
      <c r="BF21">
        <v>39463</v>
      </c>
      <c r="BG21">
        <v>4029</v>
      </c>
    </row>
    <row r="22" spans="1:59" x14ac:dyDescent="0.3">
      <c r="A22" s="3">
        <v>45312</v>
      </c>
      <c r="B22" t="s">
        <v>60</v>
      </c>
      <c r="C22">
        <v>1</v>
      </c>
      <c r="D22">
        <v>582</v>
      </c>
      <c r="E22">
        <v>613</v>
      </c>
      <c r="F22">
        <v>37</v>
      </c>
      <c r="G22">
        <v>8</v>
      </c>
      <c r="H22">
        <v>18</v>
      </c>
      <c r="I22">
        <v>28</v>
      </c>
      <c r="J22">
        <v>6</v>
      </c>
      <c r="K22">
        <v>18</v>
      </c>
      <c r="L22">
        <v>0</v>
      </c>
      <c r="M22">
        <v>0</v>
      </c>
      <c r="N22">
        <v>16</v>
      </c>
      <c r="O22">
        <v>40</v>
      </c>
      <c r="P22">
        <v>27</v>
      </c>
      <c r="Q22">
        <v>8</v>
      </c>
      <c r="R22">
        <v>41</v>
      </c>
      <c r="S22">
        <v>16</v>
      </c>
      <c r="T22">
        <v>27</v>
      </c>
      <c r="U22">
        <v>9</v>
      </c>
      <c r="V22">
        <v>36</v>
      </c>
      <c r="W22">
        <v>39</v>
      </c>
      <c r="X22">
        <v>9</v>
      </c>
      <c r="Y22">
        <v>23</v>
      </c>
      <c r="Z22">
        <v>8</v>
      </c>
      <c r="AA22">
        <v>40</v>
      </c>
      <c r="AB22">
        <v>45</v>
      </c>
      <c r="AC22">
        <v>5</v>
      </c>
      <c r="AD22">
        <v>4</v>
      </c>
      <c r="AE22">
        <v>29</v>
      </c>
      <c r="AF22">
        <v>46</v>
      </c>
      <c r="AG22">
        <v>9</v>
      </c>
      <c r="AH22">
        <v>47</v>
      </c>
      <c r="AI22">
        <v>27</v>
      </c>
      <c r="AJ22">
        <v>28</v>
      </c>
      <c r="AK22">
        <v>47</v>
      </c>
      <c r="AL22">
        <v>21</v>
      </c>
      <c r="AM22">
        <v>15</v>
      </c>
      <c r="AN22">
        <v>43</v>
      </c>
      <c r="AO22">
        <v>25</v>
      </c>
      <c r="AP22">
        <v>44</v>
      </c>
      <c r="AQ22">
        <v>46</v>
      </c>
      <c r="AR22">
        <v>21</v>
      </c>
      <c r="AS22">
        <v>27</v>
      </c>
      <c r="AT22">
        <v>49</v>
      </c>
      <c r="AU22">
        <v>17</v>
      </c>
      <c r="AV22">
        <v>27</v>
      </c>
      <c r="AW22">
        <v>24</v>
      </c>
      <c r="AX22">
        <v>20</v>
      </c>
      <c r="AY22">
        <v>16</v>
      </c>
      <c r="AZ22">
        <v>35</v>
      </c>
      <c r="BA22">
        <v>13</v>
      </c>
      <c r="BB22">
        <v>17</v>
      </c>
      <c r="BC22">
        <v>49</v>
      </c>
      <c r="BD22">
        <v>20</v>
      </c>
      <c r="BE22">
        <v>24</v>
      </c>
      <c r="BF22">
        <v>40013</v>
      </c>
      <c r="BG22">
        <v>4041</v>
      </c>
    </row>
    <row r="23" spans="1:59" x14ac:dyDescent="0.3">
      <c r="A23" s="3">
        <v>45313</v>
      </c>
      <c r="B23" t="s">
        <v>60</v>
      </c>
      <c r="C23">
        <v>1</v>
      </c>
      <c r="D23">
        <v>584</v>
      </c>
      <c r="E23">
        <v>614</v>
      </c>
      <c r="F23">
        <v>16</v>
      </c>
      <c r="G23">
        <v>1</v>
      </c>
      <c r="H23">
        <v>48</v>
      </c>
      <c r="I23">
        <v>13</v>
      </c>
      <c r="J23">
        <v>17</v>
      </c>
      <c r="K23">
        <v>49</v>
      </c>
      <c r="L23">
        <v>15</v>
      </c>
      <c r="M23">
        <v>14</v>
      </c>
      <c r="N23">
        <v>20</v>
      </c>
      <c r="O23">
        <v>2</v>
      </c>
      <c r="P23">
        <v>48</v>
      </c>
      <c r="Q23">
        <v>4</v>
      </c>
      <c r="R23">
        <v>17</v>
      </c>
      <c r="S23">
        <v>4</v>
      </c>
      <c r="T23">
        <v>3</v>
      </c>
      <c r="U23">
        <v>13</v>
      </c>
      <c r="V23">
        <v>45</v>
      </c>
      <c r="W23">
        <v>23</v>
      </c>
      <c r="X23">
        <v>48</v>
      </c>
      <c r="Y23">
        <v>48</v>
      </c>
      <c r="Z23">
        <v>36</v>
      </c>
      <c r="AA23">
        <v>41</v>
      </c>
      <c r="AB23">
        <v>19</v>
      </c>
      <c r="AC23">
        <v>31</v>
      </c>
      <c r="AD23">
        <v>12</v>
      </c>
      <c r="AE23">
        <v>3</v>
      </c>
      <c r="AF23">
        <v>11</v>
      </c>
      <c r="AG23">
        <v>36</v>
      </c>
      <c r="AH23">
        <v>2</v>
      </c>
      <c r="AI23">
        <v>17</v>
      </c>
      <c r="AJ23">
        <v>28</v>
      </c>
      <c r="AK23">
        <v>22</v>
      </c>
      <c r="AL23">
        <v>24</v>
      </c>
      <c r="AM23">
        <v>49</v>
      </c>
      <c r="AN23">
        <v>38</v>
      </c>
      <c r="AO23">
        <v>40</v>
      </c>
      <c r="AP23">
        <v>42</v>
      </c>
      <c r="AQ23">
        <v>45</v>
      </c>
      <c r="AR23">
        <v>5</v>
      </c>
      <c r="AS23">
        <v>17</v>
      </c>
      <c r="AT23">
        <v>38</v>
      </c>
      <c r="AU23">
        <v>9</v>
      </c>
      <c r="AV23">
        <v>29</v>
      </c>
      <c r="AW23">
        <v>9</v>
      </c>
      <c r="AX23">
        <v>21</v>
      </c>
      <c r="AY23">
        <v>6</v>
      </c>
      <c r="AZ23">
        <v>20</v>
      </c>
      <c r="BA23">
        <v>17</v>
      </c>
      <c r="BB23">
        <v>9</v>
      </c>
      <c r="BC23">
        <v>9</v>
      </c>
      <c r="BD23">
        <v>37</v>
      </c>
      <c r="BE23">
        <v>48</v>
      </c>
      <c r="BF23">
        <v>40564</v>
      </c>
      <c r="BG23">
        <v>4053</v>
      </c>
    </row>
    <row r="24" spans="1:59" x14ac:dyDescent="0.3">
      <c r="A24" s="3">
        <v>45314</v>
      </c>
      <c r="B24" t="s">
        <v>60</v>
      </c>
      <c r="C24">
        <v>1</v>
      </c>
      <c r="D24">
        <v>586</v>
      </c>
      <c r="E24">
        <v>615</v>
      </c>
      <c r="F24">
        <v>21</v>
      </c>
      <c r="G24">
        <v>0</v>
      </c>
      <c r="H24">
        <v>17</v>
      </c>
      <c r="I24">
        <v>35</v>
      </c>
      <c r="J24">
        <v>1</v>
      </c>
      <c r="K24">
        <v>21</v>
      </c>
      <c r="L24">
        <v>48</v>
      </c>
      <c r="M24">
        <v>16</v>
      </c>
      <c r="N24">
        <v>41</v>
      </c>
      <c r="O24">
        <v>12</v>
      </c>
      <c r="P24">
        <v>25</v>
      </c>
      <c r="Q24">
        <v>12</v>
      </c>
      <c r="R24">
        <v>47</v>
      </c>
      <c r="S24">
        <v>45</v>
      </c>
      <c r="T24">
        <v>3</v>
      </c>
      <c r="U24">
        <v>3</v>
      </c>
      <c r="V24">
        <v>36</v>
      </c>
      <c r="W24">
        <v>21</v>
      </c>
      <c r="X24">
        <v>2</v>
      </c>
      <c r="Y24">
        <v>4</v>
      </c>
      <c r="Z24">
        <v>34</v>
      </c>
      <c r="AA24">
        <v>3</v>
      </c>
      <c r="AB24">
        <v>16</v>
      </c>
      <c r="AC24">
        <v>6</v>
      </c>
      <c r="AD24">
        <v>48</v>
      </c>
      <c r="AE24">
        <v>37</v>
      </c>
      <c r="AF24">
        <v>45</v>
      </c>
      <c r="AG24">
        <v>20</v>
      </c>
      <c r="AH24">
        <v>24</v>
      </c>
      <c r="AI24">
        <v>8</v>
      </c>
      <c r="AJ24">
        <v>24</v>
      </c>
      <c r="AK24">
        <v>11</v>
      </c>
      <c r="AL24">
        <v>12</v>
      </c>
      <c r="AM24">
        <v>43</v>
      </c>
      <c r="AN24">
        <v>28</v>
      </c>
      <c r="AO24">
        <v>1</v>
      </c>
      <c r="AP24">
        <v>19</v>
      </c>
      <c r="AQ24">
        <v>49</v>
      </c>
      <c r="AR24">
        <v>34</v>
      </c>
      <c r="AS24">
        <v>19</v>
      </c>
      <c r="AT24">
        <v>17</v>
      </c>
      <c r="AU24">
        <v>2</v>
      </c>
      <c r="AV24">
        <v>5</v>
      </c>
      <c r="AW24">
        <v>34</v>
      </c>
      <c r="AX24">
        <v>33</v>
      </c>
      <c r="AY24">
        <v>34</v>
      </c>
      <c r="AZ24">
        <v>3</v>
      </c>
      <c r="BA24">
        <v>45</v>
      </c>
      <c r="BB24">
        <v>3</v>
      </c>
      <c r="BC24">
        <v>40</v>
      </c>
      <c r="BD24">
        <v>19</v>
      </c>
      <c r="BE24">
        <v>44</v>
      </c>
      <c r="BF24">
        <v>41115</v>
      </c>
      <c r="BG24">
        <v>4065</v>
      </c>
    </row>
    <row r="25" spans="1:59" x14ac:dyDescent="0.3">
      <c r="A25" s="3">
        <v>45315</v>
      </c>
      <c r="B25" t="s">
        <v>60</v>
      </c>
      <c r="C25">
        <v>1</v>
      </c>
      <c r="D25">
        <v>587</v>
      </c>
      <c r="E25">
        <v>615</v>
      </c>
      <c r="F25">
        <v>47</v>
      </c>
      <c r="G25">
        <v>48</v>
      </c>
      <c r="H25">
        <v>12</v>
      </c>
      <c r="I25">
        <v>48</v>
      </c>
      <c r="J25">
        <v>9</v>
      </c>
      <c r="K25">
        <v>24</v>
      </c>
      <c r="L25">
        <v>48</v>
      </c>
      <c r="M25">
        <v>5</v>
      </c>
      <c r="N25">
        <v>41</v>
      </c>
      <c r="O25">
        <v>12</v>
      </c>
      <c r="P25">
        <v>47</v>
      </c>
      <c r="Q25">
        <v>20</v>
      </c>
      <c r="R25">
        <v>9</v>
      </c>
      <c r="S25">
        <v>2</v>
      </c>
      <c r="T25">
        <v>17</v>
      </c>
      <c r="U25">
        <v>17</v>
      </c>
      <c r="V25">
        <v>29</v>
      </c>
      <c r="W25">
        <v>39</v>
      </c>
      <c r="X25">
        <v>12</v>
      </c>
      <c r="Y25">
        <v>38</v>
      </c>
      <c r="Z25">
        <v>12</v>
      </c>
      <c r="AA25">
        <v>26</v>
      </c>
      <c r="AB25">
        <v>35</v>
      </c>
      <c r="AC25">
        <v>26</v>
      </c>
      <c r="AD25">
        <v>7</v>
      </c>
      <c r="AE25">
        <v>13</v>
      </c>
      <c r="AF25">
        <v>29</v>
      </c>
      <c r="AG25">
        <v>18</v>
      </c>
      <c r="AH25">
        <v>35</v>
      </c>
      <c r="AI25">
        <v>20</v>
      </c>
      <c r="AJ25">
        <v>15</v>
      </c>
      <c r="AK25">
        <v>46</v>
      </c>
      <c r="AL25">
        <v>0</v>
      </c>
      <c r="AM25">
        <v>39</v>
      </c>
      <c r="AN25">
        <v>19</v>
      </c>
      <c r="AO25">
        <v>4</v>
      </c>
      <c r="AP25">
        <v>15</v>
      </c>
      <c r="AQ25">
        <v>43</v>
      </c>
      <c r="AR25">
        <v>41</v>
      </c>
      <c r="AS25">
        <v>33</v>
      </c>
      <c r="AT25">
        <v>42</v>
      </c>
      <c r="AU25">
        <v>42</v>
      </c>
      <c r="AV25">
        <v>33</v>
      </c>
      <c r="AW25">
        <v>39</v>
      </c>
      <c r="AX25">
        <v>3</v>
      </c>
      <c r="AY25">
        <v>9</v>
      </c>
      <c r="AZ25">
        <v>28</v>
      </c>
      <c r="BA25">
        <v>33</v>
      </c>
      <c r="BB25">
        <v>18</v>
      </c>
      <c r="BC25">
        <v>15</v>
      </c>
      <c r="BD25">
        <v>20</v>
      </c>
      <c r="BE25">
        <v>22</v>
      </c>
      <c r="BF25">
        <v>41665</v>
      </c>
      <c r="BG25">
        <v>4077</v>
      </c>
    </row>
    <row r="26" spans="1:59" x14ac:dyDescent="0.3">
      <c r="A26" s="3">
        <v>45316</v>
      </c>
      <c r="B26" t="s">
        <v>60</v>
      </c>
      <c r="C26">
        <v>1</v>
      </c>
      <c r="D26">
        <v>589</v>
      </c>
      <c r="E26">
        <v>616</v>
      </c>
      <c r="F26">
        <v>8</v>
      </c>
      <c r="G26">
        <v>18</v>
      </c>
      <c r="H26">
        <v>42</v>
      </c>
      <c r="I26">
        <v>32</v>
      </c>
      <c r="J26">
        <v>32</v>
      </c>
      <c r="K26">
        <v>37</v>
      </c>
      <c r="L26">
        <v>47</v>
      </c>
      <c r="M26">
        <v>22</v>
      </c>
      <c r="N26">
        <v>28</v>
      </c>
      <c r="O26">
        <v>30</v>
      </c>
      <c r="P26">
        <v>14</v>
      </c>
      <c r="Q26">
        <v>42</v>
      </c>
      <c r="R26">
        <v>31</v>
      </c>
      <c r="S26">
        <v>31</v>
      </c>
      <c r="T26">
        <v>24</v>
      </c>
      <c r="U26">
        <v>10</v>
      </c>
      <c r="V26">
        <v>33</v>
      </c>
      <c r="W26">
        <v>48</v>
      </c>
      <c r="X26">
        <v>12</v>
      </c>
      <c r="Y26">
        <v>28</v>
      </c>
      <c r="Z26">
        <v>22</v>
      </c>
      <c r="AA26">
        <v>28</v>
      </c>
      <c r="AB26">
        <v>0</v>
      </c>
      <c r="AC26">
        <v>45</v>
      </c>
      <c r="AD26">
        <v>30</v>
      </c>
      <c r="AE26">
        <v>26</v>
      </c>
      <c r="AF26">
        <v>47</v>
      </c>
      <c r="AG26">
        <v>1</v>
      </c>
      <c r="AH26">
        <v>10</v>
      </c>
      <c r="AI26">
        <v>3</v>
      </c>
      <c r="AJ26">
        <v>11</v>
      </c>
      <c r="AK26">
        <v>17</v>
      </c>
      <c r="AL26">
        <v>36</v>
      </c>
      <c r="AM26">
        <v>7</v>
      </c>
      <c r="AN26">
        <v>35</v>
      </c>
      <c r="AO26">
        <v>35</v>
      </c>
      <c r="AP26">
        <v>0</v>
      </c>
      <c r="AQ26">
        <v>38</v>
      </c>
      <c r="AR26">
        <v>20</v>
      </c>
      <c r="AS26">
        <v>24</v>
      </c>
      <c r="AT26">
        <v>9</v>
      </c>
      <c r="AU26">
        <v>44</v>
      </c>
      <c r="AV26">
        <v>35</v>
      </c>
      <c r="AW26">
        <v>37</v>
      </c>
      <c r="AX26">
        <v>35</v>
      </c>
      <c r="AY26">
        <v>19</v>
      </c>
      <c r="AZ26">
        <v>38</v>
      </c>
      <c r="BA26">
        <v>7</v>
      </c>
      <c r="BB26">
        <v>43</v>
      </c>
      <c r="BC26">
        <v>19</v>
      </c>
      <c r="BD26">
        <v>45</v>
      </c>
      <c r="BE26">
        <v>44</v>
      </c>
      <c r="BF26">
        <v>42216</v>
      </c>
      <c r="BG26">
        <v>4089</v>
      </c>
    </row>
    <row r="27" spans="1:59" x14ac:dyDescent="0.3">
      <c r="A27" s="3">
        <v>45317</v>
      </c>
      <c r="B27" t="s">
        <v>60</v>
      </c>
      <c r="C27">
        <v>1</v>
      </c>
      <c r="D27">
        <v>591</v>
      </c>
      <c r="E27">
        <v>617</v>
      </c>
      <c r="F27">
        <v>11</v>
      </c>
      <c r="G27">
        <v>15</v>
      </c>
      <c r="H27">
        <v>26</v>
      </c>
      <c r="I27">
        <v>6</v>
      </c>
      <c r="J27">
        <v>13</v>
      </c>
      <c r="K27">
        <v>40</v>
      </c>
      <c r="L27">
        <v>31</v>
      </c>
      <c r="M27">
        <v>35</v>
      </c>
      <c r="N27">
        <v>32</v>
      </c>
      <c r="O27">
        <v>3</v>
      </c>
      <c r="P27">
        <v>27</v>
      </c>
      <c r="Q27">
        <v>44</v>
      </c>
      <c r="R27">
        <v>36</v>
      </c>
      <c r="S27">
        <v>32</v>
      </c>
      <c r="T27">
        <v>49</v>
      </c>
      <c r="U27">
        <v>20</v>
      </c>
      <c r="V27">
        <v>33</v>
      </c>
      <c r="W27">
        <v>2</v>
      </c>
      <c r="X27">
        <v>26</v>
      </c>
      <c r="Y27">
        <v>36</v>
      </c>
      <c r="Z27">
        <v>7</v>
      </c>
      <c r="AA27">
        <v>40</v>
      </c>
      <c r="AB27">
        <v>40</v>
      </c>
      <c r="AC27">
        <v>2</v>
      </c>
      <c r="AD27">
        <v>8</v>
      </c>
      <c r="AE27">
        <v>1</v>
      </c>
      <c r="AF27">
        <v>16</v>
      </c>
      <c r="AG27">
        <v>8</v>
      </c>
      <c r="AH27">
        <v>20</v>
      </c>
      <c r="AI27">
        <v>10</v>
      </c>
      <c r="AJ27">
        <v>29</v>
      </c>
      <c r="AK27">
        <v>12</v>
      </c>
      <c r="AL27">
        <v>31</v>
      </c>
      <c r="AM27">
        <v>49</v>
      </c>
      <c r="AN27">
        <v>3</v>
      </c>
      <c r="AO27">
        <v>12</v>
      </c>
      <c r="AP27">
        <v>40</v>
      </c>
      <c r="AQ27">
        <v>27</v>
      </c>
      <c r="AR27">
        <v>38</v>
      </c>
      <c r="AS27">
        <v>13</v>
      </c>
      <c r="AT27">
        <v>20</v>
      </c>
      <c r="AU27">
        <v>28</v>
      </c>
      <c r="AV27">
        <v>30</v>
      </c>
      <c r="AW27">
        <v>12</v>
      </c>
      <c r="AX27">
        <v>43</v>
      </c>
      <c r="AY27">
        <v>32</v>
      </c>
      <c r="AZ27">
        <v>28</v>
      </c>
      <c r="BA27">
        <v>36</v>
      </c>
      <c r="BB27">
        <v>22</v>
      </c>
      <c r="BC27">
        <v>17</v>
      </c>
      <c r="BD27">
        <v>3</v>
      </c>
      <c r="BE27">
        <v>30</v>
      </c>
      <c r="BF27">
        <v>42767</v>
      </c>
      <c r="BG27">
        <v>4101</v>
      </c>
    </row>
    <row r="28" spans="1:59" x14ac:dyDescent="0.3">
      <c r="A28" s="3">
        <v>45318</v>
      </c>
      <c r="B28" t="s">
        <v>60</v>
      </c>
      <c r="C28">
        <v>1</v>
      </c>
      <c r="D28">
        <v>592</v>
      </c>
      <c r="E28">
        <v>617</v>
      </c>
      <c r="F28">
        <v>45</v>
      </c>
      <c r="G28">
        <v>10</v>
      </c>
      <c r="H28">
        <v>10</v>
      </c>
      <c r="I28">
        <v>29</v>
      </c>
      <c r="J28">
        <v>6</v>
      </c>
      <c r="K28">
        <v>6</v>
      </c>
      <c r="L28">
        <v>8</v>
      </c>
      <c r="M28">
        <v>34</v>
      </c>
      <c r="N28">
        <v>46</v>
      </c>
      <c r="O28">
        <v>20</v>
      </c>
      <c r="P28">
        <v>48</v>
      </c>
      <c r="Q28">
        <v>27</v>
      </c>
      <c r="R28">
        <v>48</v>
      </c>
      <c r="S28">
        <v>38</v>
      </c>
      <c r="T28">
        <v>4</v>
      </c>
      <c r="U28">
        <v>7</v>
      </c>
      <c r="V28">
        <v>38</v>
      </c>
      <c r="W28">
        <v>9</v>
      </c>
      <c r="X28">
        <v>9</v>
      </c>
      <c r="Y28">
        <v>5</v>
      </c>
      <c r="Z28">
        <v>24</v>
      </c>
      <c r="AA28">
        <v>40</v>
      </c>
      <c r="AB28">
        <v>26</v>
      </c>
      <c r="AC28">
        <v>8</v>
      </c>
      <c r="AD28">
        <v>12</v>
      </c>
      <c r="AE28">
        <v>16</v>
      </c>
      <c r="AF28">
        <v>17</v>
      </c>
      <c r="AG28">
        <v>33</v>
      </c>
      <c r="AH28">
        <v>12</v>
      </c>
      <c r="AI28">
        <v>6</v>
      </c>
      <c r="AJ28">
        <v>2</v>
      </c>
      <c r="AK28">
        <v>46</v>
      </c>
      <c r="AL28">
        <v>37</v>
      </c>
      <c r="AM28">
        <v>13</v>
      </c>
      <c r="AN28">
        <v>37</v>
      </c>
      <c r="AO28">
        <v>37</v>
      </c>
      <c r="AP28">
        <v>22</v>
      </c>
      <c r="AQ28">
        <v>11</v>
      </c>
      <c r="AR28">
        <v>0</v>
      </c>
      <c r="AS28">
        <v>18</v>
      </c>
      <c r="AT28">
        <v>41</v>
      </c>
      <c r="AU28">
        <v>40</v>
      </c>
      <c r="AV28">
        <v>21</v>
      </c>
      <c r="AW28">
        <v>1</v>
      </c>
      <c r="AX28">
        <v>11</v>
      </c>
      <c r="AY28">
        <v>21</v>
      </c>
      <c r="AZ28">
        <v>40</v>
      </c>
      <c r="BA28">
        <v>32</v>
      </c>
      <c r="BB28">
        <v>23</v>
      </c>
      <c r="BC28">
        <v>20</v>
      </c>
      <c r="BD28">
        <v>18</v>
      </c>
      <c r="BE28">
        <v>36</v>
      </c>
      <c r="BF28">
        <v>43317</v>
      </c>
      <c r="BG28">
        <v>4113</v>
      </c>
    </row>
    <row r="29" spans="1:59" x14ac:dyDescent="0.3">
      <c r="A29" s="3">
        <v>45319</v>
      </c>
      <c r="B29" t="s">
        <v>60</v>
      </c>
      <c r="C29">
        <v>1</v>
      </c>
      <c r="D29">
        <v>594</v>
      </c>
      <c r="E29">
        <v>618</v>
      </c>
      <c r="F29">
        <v>42</v>
      </c>
      <c r="G29">
        <v>4</v>
      </c>
      <c r="H29">
        <v>40</v>
      </c>
      <c r="I29">
        <v>26</v>
      </c>
      <c r="J29">
        <v>5</v>
      </c>
      <c r="K29">
        <v>20</v>
      </c>
      <c r="L29">
        <v>40</v>
      </c>
      <c r="M29">
        <v>23</v>
      </c>
      <c r="N29">
        <v>28</v>
      </c>
      <c r="O29">
        <v>13</v>
      </c>
      <c r="P29">
        <v>37</v>
      </c>
      <c r="Q29">
        <v>47</v>
      </c>
      <c r="R29">
        <v>4</v>
      </c>
      <c r="S29">
        <v>2</v>
      </c>
      <c r="T29">
        <v>28</v>
      </c>
      <c r="U29">
        <v>25</v>
      </c>
      <c r="V29">
        <v>32</v>
      </c>
      <c r="W29">
        <v>34</v>
      </c>
      <c r="X29">
        <v>25</v>
      </c>
      <c r="Y29">
        <v>34</v>
      </c>
      <c r="Z29">
        <v>31</v>
      </c>
      <c r="AA29">
        <v>36</v>
      </c>
      <c r="AB29">
        <v>42</v>
      </c>
      <c r="AC29">
        <v>21</v>
      </c>
      <c r="AD29">
        <v>1</v>
      </c>
      <c r="AE29">
        <v>26</v>
      </c>
      <c r="AF29">
        <v>49</v>
      </c>
      <c r="AG29">
        <v>5</v>
      </c>
      <c r="AH29">
        <v>2</v>
      </c>
      <c r="AI29">
        <v>2</v>
      </c>
      <c r="AJ29">
        <v>9</v>
      </c>
      <c r="AK29">
        <v>42</v>
      </c>
      <c r="AL29">
        <v>43</v>
      </c>
      <c r="AM29">
        <v>34</v>
      </c>
      <c r="AN29">
        <v>9</v>
      </c>
      <c r="AO29">
        <v>23</v>
      </c>
      <c r="AP29">
        <v>2</v>
      </c>
      <c r="AQ29">
        <v>33</v>
      </c>
      <c r="AR29">
        <v>10</v>
      </c>
      <c r="AS29">
        <v>33</v>
      </c>
      <c r="AT29">
        <v>10</v>
      </c>
      <c r="AU29">
        <v>4</v>
      </c>
      <c r="AV29">
        <v>43</v>
      </c>
      <c r="AW29">
        <v>39</v>
      </c>
      <c r="AX29">
        <v>36</v>
      </c>
      <c r="AY29">
        <v>2</v>
      </c>
      <c r="AZ29">
        <v>22</v>
      </c>
      <c r="BA29">
        <v>22</v>
      </c>
      <c r="BB29">
        <v>3</v>
      </c>
      <c r="BC29">
        <v>4</v>
      </c>
      <c r="BD29">
        <v>40</v>
      </c>
      <c r="BE29">
        <v>23</v>
      </c>
      <c r="BF29">
        <v>43868</v>
      </c>
      <c r="BG29">
        <v>4125</v>
      </c>
    </row>
    <row r="30" spans="1:59" x14ac:dyDescent="0.3">
      <c r="A30" s="3">
        <v>45320</v>
      </c>
      <c r="B30" t="s">
        <v>60</v>
      </c>
      <c r="C30">
        <v>1</v>
      </c>
      <c r="D30">
        <v>596</v>
      </c>
      <c r="E30">
        <v>619</v>
      </c>
      <c r="F30">
        <v>35</v>
      </c>
      <c r="G30">
        <v>10</v>
      </c>
      <c r="H30">
        <v>35</v>
      </c>
      <c r="I30">
        <v>23</v>
      </c>
      <c r="J30">
        <v>0</v>
      </c>
      <c r="K30">
        <v>19</v>
      </c>
      <c r="L30">
        <v>10</v>
      </c>
      <c r="M30">
        <v>32</v>
      </c>
      <c r="N30">
        <v>27</v>
      </c>
      <c r="O30">
        <v>34</v>
      </c>
      <c r="P30">
        <v>5</v>
      </c>
      <c r="Q30">
        <v>19</v>
      </c>
      <c r="R30">
        <v>28</v>
      </c>
      <c r="S30">
        <v>14</v>
      </c>
      <c r="T30">
        <v>41</v>
      </c>
      <c r="U30">
        <v>43</v>
      </c>
      <c r="V30">
        <v>34</v>
      </c>
      <c r="W30">
        <v>47</v>
      </c>
      <c r="X30">
        <v>6</v>
      </c>
      <c r="Y30">
        <v>19</v>
      </c>
      <c r="Z30">
        <v>18</v>
      </c>
      <c r="AA30">
        <v>35</v>
      </c>
      <c r="AB30">
        <v>10</v>
      </c>
      <c r="AC30">
        <v>25</v>
      </c>
      <c r="AD30">
        <v>42</v>
      </c>
      <c r="AE30">
        <v>26</v>
      </c>
      <c r="AF30">
        <v>25</v>
      </c>
      <c r="AG30">
        <v>41</v>
      </c>
      <c r="AH30">
        <v>21</v>
      </c>
      <c r="AI30">
        <v>46</v>
      </c>
      <c r="AJ30">
        <v>28</v>
      </c>
      <c r="AK30">
        <v>13</v>
      </c>
      <c r="AL30">
        <v>20</v>
      </c>
      <c r="AM30">
        <v>23</v>
      </c>
      <c r="AN30">
        <v>40</v>
      </c>
      <c r="AO30">
        <v>10</v>
      </c>
      <c r="AP30">
        <v>22</v>
      </c>
      <c r="AQ30">
        <v>1</v>
      </c>
      <c r="AR30">
        <v>29</v>
      </c>
      <c r="AS30">
        <v>37</v>
      </c>
      <c r="AT30">
        <v>21</v>
      </c>
      <c r="AU30">
        <v>22</v>
      </c>
      <c r="AV30">
        <v>27</v>
      </c>
      <c r="AW30">
        <v>49</v>
      </c>
      <c r="AX30">
        <v>21</v>
      </c>
      <c r="AY30">
        <v>24</v>
      </c>
      <c r="AZ30">
        <v>6</v>
      </c>
      <c r="BA30">
        <v>30</v>
      </c>
      <c r="BB30">
        <v>8</v>
      </c>
      <c r="BC30">
        <v>43</v>
      </c>
      <c r="BD30">
        <v>47</v>
      </c>
      <c r="BE30">
        <v>47</v>
      </c>
      <c r="BF30">
        <v>44419</v>
      </c>
      <c r="BG30">
        <v>4137</v>
      </c>
    </row>
    <row r="31" spans="1:59" x14ac:dyDescent="0.3">
      <c r="A31" s="3">
        <v>45321</v>
      </c>
      <c r="B31" t="s">
        <v>60</v>
      </c>
      <c r="C31">
        <v>1</v>
      </c>
      <c r="D31">
        <v>597</v>
      </c>
      <c r="E31">
        <v>619</v>
      </c>
      <c r="F31">
        <v>37</v>
      </c>
      <c r="G31">
        <v>13</v>
      </c>
      <c r="H31">
        <v>12</v>
      </c>
      <c r="I31">
        <v>30</v>
      </c>
      <c r="J31">
        <v>27</v>
      </c>
      <c r="K31">
        <v>3</v>
      </c>
      <c r="L31">
        <v>0</v>
      </c>
      <c r="M31">
        <v>29</v>
      </c>
      <c r="N31">
        <v>28</v>
      </c>
      <c r="O31">
        <v>48</v>
      </c>
      <c r="P31">
        <v>19</v>
      </c>
      <c r="Q31">
        <v>5</v>
      </c>
      <c r="R31">
        <v>42</v>
      </c>
      <c r="S31">
        <v>45</v>
      </c>
      <c r="T31">
        <v>13</v>
      </c>
      <c r="U31">
        <v>44</v>
      </c>
      <c r="V31">
        <v>3</v>
      </c>
      <c r="W31">
        <v>15</v>
      </c>
      <c r="X31">
        <v>22</v>
      </c>
      <c r="Y31">
        <v>20</v>
      </c>
      <c r="Z31">
        <v>38</v>
      </c>
      <c r="AA31">
        <v>25</v>
      </c>
      <c r="AB31">
        <v>16</v>
      </c>
      <c r="AC31">
        <v>21</v>
      </c>
      <c r="AD31">
        <v>20</v>
      </c>
      <c r="AE31">
        <v>12</v>
      </c>
      <c r="AF31">
        <v>5</v>
      </c>
      <c r="AG31">
        <v>34</v>
      </c>
      <c r="AH31">
        <v>9</v>
      </c>
      <c r="AI31">
        <v>2</v>
      </c>
      <c r="AJ31">
        <v>39</v>
      </c>
      <c r="AK31">
        <v>33</v>
      </c>
      <c r="AL31">
        <v>4</v>
      </c>
      <c r="AM31">
        <v>48</v>
      </c>
      <c r="AN31">
        <v>46</v>
      </c>
      <c r="AO31">
        <v>30</v>
      </c>
      <c r="AP31">
        <v>39</v>
      </c>
      <c r="AQ31">
        <v>35</v>
      </c>
      <c r="AR31">
        <v>25</v>
      </c>
      <c r="AS31">
        <v>42</v>
      </c>
      <c r="AT31">
        <v>33</v>
      </c>
      <c r="AU31">
        <v>13</v>
      </c>
      <c r="AV31">
        <v>6</v>
      </c>
      <c r="AW31">
        <v>38</v>
      </c>
      <c r="AX31">
        <v>34</v>
      </c>
      <c r="AY31">
        <v>8</v>
      </c>
      <c r="AZ31">
        <v>23</v>
      </c>
      <c r="BA31">
        <v>20</v>
      </c>
      <c r="BB31">
        <v>31</v>
      </c>
      <c r="BC31">
        <v>43</v>
      </c>
      <c r="BD31">
        <v>24</v>
      </c>
      <c r="BE31">
        <v>5</v>
      </c>
      <c r="BF31">
        <v>44969</v>
      </c>
      <c r="BG31">
        <v>4149</v>
      </c>
    </row>
    <row r="32" spans="1:59" x14ac:dyDescent="0.3">
      <c r="A32" s="3">
        <v>45322</v>
      </c>
      <c r="B32" t="s">
        <v>60</v>
      </c>
      <c r="C32">
        <v>1</v>
      </c>
      <c r="D32">
        <v>599</v>
      </c>
      <c r="E32">
        <v>620</v>
      </c>
      <c r="F32">
        <v>47</v>
      </c>
      <c r="G32">
        <v>13</v>
      </c>
      <c r="H32">
        <v>1</v>
      </c>
      <c r="I32">
        <v>4</v>
      </c>
      <c r="J32">
        <v>44</v>
      </c>
      <c r="K32">
        <v>30</v>
      </c>
      <c r="L32">
        <v>3</v>
      </c>
      <c r="M32">
        <v>34</v>
      </c>
      <c r="N32">
        <v>18</v>
      </c>
      <c r="O32">
        <v>14</v>
      </c>
      <c r="P32">
        <v>9</v>
      </c>
      <c r="Q32">
        <v>19</v>
      </c>
      <c r="R32">
        <v>36</v>
      </c>
      <c r="S32">
        <v>10</v>
      </c>
      <c r="T32">
        <v>10</v>
      </c>
      <c r="U32">
        <v>24</v>
      </c>
      <c r="V32">
        <v>46</v>
      </c>
      <c r="W32">
        <v>41</v>
      </c>
      <c r="X32">
        <v>35</v>
      </c>
      <c r="Y32">
        <v>11</v>
      </c>
      <c r="Z32">
        <v>21</v>
      </c>
      <c r="AA32">
        <v>33</v>
      </c>
      <c r="AB32">
        <v>22</v>
      </c>
      <c r="AC32">
        <v>33</v>
      </c>
      <c r="AD32">
        <v>5</v>
      </c>
      <c r="AE32">
        <v>5</v>
      </c>
      <c r="AF32">
        <v>2</v>
      </c>
      <c r="AG32">
        <v>18</v>
      </c>
      <c r="AH32">
        <v>8</v>
      </c>
      <c r="AI32">
        <v>22</v>
      </c>
      <c r="AJ32">
        <v>35</v>
      </c>
      <c r="AK32">
        <v>11</v>
      </c>
      <c r="AL32">
        <v>33</v>
      </c>
      <c r="AM32">
        <v>33</v>
      </c>
      <c r="AN32">
        <v>32</v>
      </c>
      <c r="AO32">
        <v>42</v>
      </c>
      <c r="AP32">
        <v>37</v>
      </c>
      <c r="AQ32">
        <v>36</v>
      </c>
      <c r="AR32">
        <v>38</v>
      </c>
      <c r="AS32">
        <v>40</v>
      </c>
      <c r="AT32">
        <v>16</v>
      </c>
      <c r="AU32">
        <v>0</v>
      </c>
      <c r="AV32">
        <v>30</v>
      </c>
      <c r="AW32">
        <v>1</v>
      </c>
      <c r="AX32">
        <v>3</v>
      </c>
      <c r="AY32">
        <v>22</v>
      </c>
      <c r="AZ32">
        <v>49</v>
      </c>
      <c r="BA32">
        <v>36</v>
      </c>
      <c r="BB32">
        <v>38</v>
      </c>
      <c r="BC32">
        <v>36</v>
      </c>
      <c r="BD32">
        <v>41</v>
      </c>
      <c r="BE32">
        <v>49</v>
      </c>
      <c r="BF32">
        <v>45520</v>
      </c>
      <c r="BG32">
        <v>4161</v>
      </c>
    </row>
    <row r="33" spans="1:59" x14ac:dyDescent="0.3">
      <c r="A33" s="3">
        <v>45323</v>
      </c>
      <c r="B33" t="s">
        <v>61</v>
      </c>
      <c r="C33">
        <v>2</v>
      </c>
      <c r="D33">
        <v>600</v>
      </c>
      <c r="E33">
        <v>621</v>
      </c>
      <c r="F33">
        <v>41</v>
      </c>
      <c r="G33">
        <v>27</v>
      </c>
      <c r="H33">
        <v>16</v>
      </c>
      <c r="I33">
        <v>37</v>
      </c>
      <c r="J33">
        <v>17</v>
      </c>
      <c r="K33">
        <v>30</v>
      </c>
      <c r="L33">
        <v>4</v>
      </c>
      <c r="M33">
        <v>13</v>
      </c>
      <c r="N33">
        <v>41</v>
      </c>
      <c r="O33">
        <v>42</v>
      </c>
      <c r="P33">
        <v>12</v>
      </c>
      <c r="Q33">
        <v>0</v>
      </c>
      <c r="R33">
        <v>41</v>
      </c>
      <c r="S33">
        <v>37</v>
      </c>
      <c r="T33">
        <v>2</v>
      </c>
      <c r="U33">
        <v>27</v>
      </c>
      <c r="V33">
        <v>31</v>
      </c>
      <c r="W33">
        <v>15</v>
      </c>
      <c r="X33">
        <v>37</v>
      </c>
      <c r="Y33">
        <v>49</v>
      </c>
      <c r="Z33">
        <v>39</v>
      </c>
      <c r="AA33">
        <v>31</v>
      </c>
      <c r="AB33">
        <v>40</v>
      </c>
      <c r="AC33">
        <v>41</v>
      </c>
      <c r="AD33">
        <v>5</v>
      </c>
      <c r="AE33">
        <v>21</v>
      </c>
      <c r="AF33">
        <v>0</v>
      </c>
      <c r="AG33">
        <v>16</v>
      </c>
      <c r="AH33">
        <v>45</v>
      </c>
      <c r="AI33">
        <v>44</v>
      </c>
      <c r="AJ33">
        <v>35</v>
      </c>
      <c r="AK33">
        <v>37</v>
      </c>
      <c r="AL33">
        <v>48</v>
      </c>
      <c r="AM33">
        <v>46</v>
      </c>
      <c r="AN33">
        <v>36</v>
      </c>
      <c r="AO33">
        <v>31</v>
      </c>
      <c r="AP33">
        <v>41</v>
      </c>
      <c r="AQ33">
        <v>16</v>
      </c>
      <c r="AR33">
        <v>25</v>
      </c>
      <c r="AS33">
        <v>3</v>
      </c>
      <c r="AT33">
        <v>12</v>
      </c>
      <c r="AU33">
        <v>4</v>
      </c>
      <c r="AV33">
        <v>3</v>
      </c>
      <c r="AW33">
        <v>39</v>
      </c>
      <c r="AX33">
        <v>42</v>
      </c>
      <c r="AY33">
        <v>13</v>
      </c>
      <c r="AZ33">
        <v>3</v>
      </c>
      <c r="BA33">
        <v>18</v>
      </c>
      <c r="BB33">
        <v>10</v>
      </c>
      <c r="BC33">
        <v>40</v>
      </c>
      <c r="BD33">
        <v>3</v>
      </c>
      <c r="BE33">
        <v>35</v>
      </c>
      <c r="BF33">
        <v>46071</v>
      </c>
      <c r="BG33">
        <v>4173</v>
      </c>
    </row>
    <row r="34" spans="1:59" x14ac:dyDescent="0.3">
      <c r="A34" s="3">
        <v>45324</v>
      </c>
      <c r="B34" t="s">
        <v>61</v>
      </c>
      <c r="C34">
        <v>2</v>
      </c>
      <c r="D34">
        <v>602</v>
      </c>
      <c r="E34">
        <v>621</v>
      </c>
      <c r="F34">
        <v>14</v>
      </c>
      <c r="G34">
        <v>11</v>
      </c>
      <c r="H34">
        <v>41</v>
      </c>
      <c r="I34">
        <v>35</v>
      </c>
      <c r="J34">
        <v>35</v>
      </c>
      <c r="K34">
        <v>46</v>
      </c>
      <c r="L34">
        <v>11</v>
      </c>
      <c r="M34">
        <v>17</v>
      </c>
      <c r="N34">
        <v>1</v>
      </c>
      <c r="O34">
        <v>26</v>
      </c>
      <c r="P34">
        <v>46</v>
      </c>
      <c r="Q34">
        <v>8</v>
      </c>
      <c r="R34">
        <v>48</v>
      </c>
      <c r="S34">
        <v>8</v>
      </c>
      <c r="T34">
        <v>18</v>
      </c>
      <c r="U34">
        <v>8</v>
      </c>
      <c r="V34">
        <v>34</v>
      </c>
      <c r="W34">
        <v>22</v>
      </c>
      <c r="X34">
        <v>44</v>
      </c>
      <c r="Y34">
        <v>10</v>
      </c>
      <c r="Z34">
        <v>7</v>
      </c>
      <c r="AA34">
        <v>31</v>
      </c>
      <c r="AB34">
        <v>31</v>
      </c>
      <c r="AC34">
        <v>25</v>
      </c>
      <c r="AD34">
        <v>39</v>
      </c>
      <c r="AE34">
        <v>23</v>
      </c>
      <c r="AF34">
        <v>31</v>
      </c>
      <c r="AG34">
        <v>39</v>
      </c>
      <c r="AH34">
        <v>23</v>
      </c>
      <c r="AI34">
        <v>3</v>
      </c>
      <c r="AJ34">
        <v>35</v>
      </c>
      <c r="AK34">
        <v>35</v>
      </c>
      <c r="AL34">
        <v>17</v>
      </c>
      <c r="AM34">
        <v>26</v>
      </c>
      <c r="AN34">
        <v>6</v>
      </c>
      <c r="AO34">
        <v>45</v>
      </c>
      <c r="AP34">
        <v>14</v>
      </c>
      <c r="AQ34">
        <v>7</v>
      </c>
      <c r="AR34">
        <v>23</v>
      </c>
      <c r="AS34">
        <v>45</v>
      </c>
      <c r="AT34">
        <v>9</v>
      </c>
      <c r="AU34">
        <v>34</v>
      </c>
      <c r="AV34">
        <v>47</v>
      </c>
      <c r="AW34">
        <v>42</v>
      </c>
      <c r="AX34">
        <v>46</v>
      </c>
      <c r="AY34">
        <v>25</v>
      </c>
      <c r="AZ34">
        <v>31</v>
      </c>
      <c r="BA34">
        <v>29</v>
      </c>
      <c r="BB34">
        <v>12</v>
      </c>
      <c r="BC34">
        <v>19</v>
      </c>
      <c r="BD34">
        <v>40</v>
      </c>
      <c r="BE34">
        <v>25</v>
      </c>
      <c r="BF34">
        <v>46621</v>
      </c>
      <c r="BG34">
        <v>4185</v>
      </c>
    </row>
    <row r="35" spans="1:59" x14ac:dyDescent="0.3">
      <c r="A35" s="3">
        <v>45325</v>
      </c>
      <c r="B35" t="s">
        <v>61</v>
      </c>
      <c r="C35">
        <v>2</v>
      </c>
      <c r="D35">
        <v>604</v>
      </c>
      <c r="E35">
        <v>622</v>
      </c>
      <c r="F35">
        <v>8</v>
      </c>
      <c r="G35">
        <v>34</v>
      </c>
      <c r="H35">
        <v>27</v>
      </c>
      <c r="I35">
        <v>22</v>
      </c>
      <c r="J35">
        <v>31</v>
      </c>
      <c r="K35">
        <v>23</v>
      </c>
      <c r="L35">
        <v>38</v>
      </c>
      <c r="M35">
        <v>18</v>
      </c>
      <c r="N35">
        <v>11</v>
      </c>
      <c r="O35">
        <v>21</v>
      </c>
      <c r="P35">
        <v>28</v>
      </c>
      <c r="Q35">
        <v>10</v>
      </c>
      <c r="R35">
        <v>32</v>
      </c>
      <c r="S35">
        <v>35</v>
      </c>
      <c r="T35">
        <v>45</v>
      </c>
      <c r="U35">
        <v>45</v>
      </c>
      <c r="V35">
        <v>11</v>
      </c>
      <c r="W35">
        <v>39</v>
      </c>
      <c r="X35">
        <v>19</v>
      </c>
      <c r="Y35">
        <v>28</v>
      </c>
      <c r="Z35">
        <v>0</v>
      </c>
      <c r="AA35">
        <v>24</v>
      </c>
      <c r="AB35">
        <v>32</v>
      </c>
      <c r="AC35">
        <v>15</v>
      </c>
      <c r="AD35">
        <v>46</v>
      </c>
      <c r="AE35">
        <v>12</v>
      </c>
      <c r="AF35">
        <v>15</v>
      </c>
      <c r="AG35">
        <v>31</v>
      </c>
      <c r="AH35">
        <v>7</v>
      </c>
      <c r="AI35">
        <v>27</v>
      </c>
      <c r="AJ35">
        <v>12</v>
      </c>
      <c r="AK35">
        <v>42</v>
      </c>
      <c r="AL35">
        <v>2</v>
      </c>
      <c r="AM35">
        <v>23</v>
      </c>
      <c r="AN35">
        <v>8</v>
      </c>
      <c r="AO35">
        <v>38</v>
      </c>
      <c r="AP35">
        <v>7</v>
      </c>
      <c r="AQ35">
        <v>48</v>
      </c>
      <c r="AR35">
        <v>38</v>
      </c>
      <c r="AS35">
        <v>30</v>
      </c>
      <c r="AT35">
        <v>18</v>
      </c>
      <c r="AU35">
        <v>18</v>
      </c>
      <c r="AV35">
        <v>18</v>
      </c>
      <c r="AW35">
        <v>9</v>
      </c>
      <c r="AX35">
        <v>11</v>
      </c>
      <c r="AY35">
        <v>25</v>
      </c>
      <c r="AZ35">
        <v>36</v>
      </c>
      <c r="BA35">
        <v>18</v>
      </c>
      <c r="BB35">
        <v>3</v>
      </c>
      <c r="BC35">
        <v>27</v>
      </c>
      <c r="BD35">
        <v>21</v>
      </c>
      <c r="BE35">
        <v>19</v>
      </c>
      <c r="BF35">
        <v>47172</v>
      </c>
      <c r="BG35">
        <v>4197</v>
      </c>
    </row>
    <row r="36" spans="1:59" x14ac:dyDescent="0.3">
      <c r="A36" s="3">
        <v>45326</v>
      </c>
      <c r="B36" t="s">
        <v>61</v>
      </c>
      <c r="C36">
        <v>2</v>
      </c>
      <c r="D36">
        <v>605</v>
      </c>
      <c r="E36">
        <v>623</v>
      </c>
      <c r="F36">
        <v>35</v>
      </c>
      <c r="G36">
        <v>27</v>
      </c>
      <c r="H36">
        <v>38</v>
      </c>
      <c r="I36">
        <v>41</v>
      </c>
      <c r="J36">
        <v>48</v>
      </c>
      <c r="K36">
        <v>37</v>
      </c>
      <c r="L36">
        <v>18</v>
      </c>
      <c r="M36">
        <v>1</v>
      </c>
      <c r="N36">
        <v>0</v>
      </c>
      <c r="O36">
        <v>5</v>
      </c>
      <c r="P36">
        <v>19</v>
      </c>
      <c r="Q36">
        <v>34</v>
      </c>
      <c r="R36">
        <v>41</v>
      </c>
      <c r="S36">
        <v>4</v>
      </c>
      <c r="T36">
        <v>46</v>
      </c>
      <c r="U36">
        <v>34</v>
      </c>
      <c r="V36">
        <v>4</v>
      </c>
      <c r="W36">
        <v>11</v>
      </c>
      <c r="X36">
        <v>29</v>
      </c>
      <c r="Y36">
        <v>25</v>
      </c>
      <c r="Z36">
        <v>17</v>
      </c>
      <c r="AA36">
        <v>22</v>
      </c>
      <c r="AB36">
        <v>18</v>
      </c>
      <c r="AC36">
        <v>49</v>
      </c>
      <c r="AD36">
        <v>5</v>
      </c>
      <c r="AE36">
        <v>48</v>
      </c>
      <c r="AF36">
        <v>16</v>
      </c>
      <c r="AG36">
        <v>22</v>
      </c>
      <c r="AH36">
        <v>20</v>
      </c>
      <c r="AI36">
        <v>14</v>
      </c>
      <c r="AJ36">
        <v>17</v>
      </c>
      <c r="AK36">
        <v>6</v>
      </c>
      <c r="AL36">
        <v>12</v>
      </c>
      <c r="AM36">
        <v>11</v>
      </c>
      <c r="AN36">
        <v>10</v>
      </c>
      <c r="AO36">
        <v>12</v>
      </c>
      <c r="AP36">
        <v>28</v>
      </c>
      <c r="AQ36">
        <v>42</v>
      </c>
      <c r="AR36">
        <v>3</v>
      </c>
      <c r="AS36">
        <v>12</v>
      </c>
      <c r="AT36">
        <v>49</v>
      </c>
      <c r="AU36">
        <v>11</v>
      </c>
      <c r="AV36">
        <v>1</v>
      </c>
      <c r="AW36">
        <v>9</v>
      </c>
      <c r="AX36">
        <v>27</v>
      </c>
      <c r="AY36">
        <v>7</v>
      </c>
      <c r="AZ36">
        <v>49</v>
      </c>
      <c r="BA36">
        <v>12</v>
      </c>
      <c r="BB36">
        <v>47</v>
      </c>
      <c r="BC36">
        <v>16</v>
      </c>
      <c r="BD36">
        <v>45</v>
      </c>
      <c r="BE36">
        <v>28</v>
      </c>
      <c r="BF36">
        <v>47723</v>
      </c>
      <c r="BG36">
        <v>4209</v>
      </c>
    </row>
    <row r="37" spans="1:59" x14ac:dyDescent="0.3">
      <c r="A37" s="3">
        <v>45327</v>
      </c>
      <c r="B37" t="s">
        <v>61</v>
      </c>
      <c r="C37">
        <v>2</v>
      </c>
      <c r="D37">
        <v>607</v>
      </c>
      <c r="E37">
        <v>623</v>
      </c>
      <c r="F37">
        <v>0</v>
      </c>
      <c r="G37">
        <v>44</v>
      </c>
      <c r="H37">
        <v>24</v>
      </c>
      <c r="I37">
        <v>46</v>
      </c>
      <c r="J37">
        <v>23</v>
      </c>
      <c r="K37">
        <v>9</v>
      </c>
      <c r="L37">
        <v>29</v>
      </c>
      <c r="M37">
        <v>41</v>
      </c>
      <c r="N37">
        <v>2</v>
      </c>
      <c r="O37">
        <v>30</v>
      </c>
      <c r="P37">
        <v>46</v>
      </c>
      <c r="Q37">
        <v>42</v>
      </c>
      <c r="R37">
        <v>8</v>
      </c>
      <c r="S37">
        <v>7</v>
      </c>
      <c r="T37">
        <v>46</v>
      </c>
      <c r="U37">
        <v>11</v>
      </c>
      <c r="V37">
        <v>36</v>
      </c>
      <c r="W37">
        <v>8</v>
      </c>
      <c r="X37">
        <v>25</v>
      </c>
      <c r="Y37">
        <v>49</v>
      </c>
      <c r="Z37">
        <v>18</v>
      </c>
      <c r="AA37">
        <v>3</v>
      </c>
      <c r="AB37">
        <v>41</v>
      </c>
      <c r="AC37">
        <v>37</v>
      </c>
      <c r="AD37">
        <v>17</v>
      </c>
      <c r="AE37">
        <v>39</v>
      </c>
      <c r="AF37">
        <v>43</v>
      </c>
      <c r="AG37">
        <v>9</v>
      </c>
      <c r="AH37">
        <v>14</v>
      </c>
      <c r="AI37">
        <v>37</v>
      </c>
      <c r="AJ37">
        <v>35</v>
      </c>
      <c r="AK37">
        <v>34</v>
      </c>
      <c r="AL37">
        <v>8</v>
      </c>
      <c r="AM37">
        <v>13</v>
      </c>
      <c r="AN37">
        <v>19</v>
      </c>
      <c r="AO37">
        <v>16</v>
      </c>
      <c r="AP37">
        <v>6</v>
      </c>
      <c r="AQ37">
        <v>22</v>
      </c>
      <c r="AR37">
        <v>29</v>
      </c>
      <c r="AS37">
        <v>24</v>
      </c>
      <c r="AT37">
        <v>36</v>
      </c>
      <c r="AU37">
        <v>0</v>
      </c>
      <c r="AV37">
        <v>45</v>
      </c>
      <c r="AW37">
        <v>46</v>
      </c>
      <c r="AX37">
        <v>40</v>
      </c>
      <c r="AY37">
        <v>8</v>
      </c>
      <c r="AZ37">
        <v>48</v>
      </c>
      <c r="BA37">
        <v>46</v>
      </c>
      <c r="BB37">
        <v>36</v>
      </c>
      <c r="BC37">
        <v>1</v>
      </c>
      <c r="BD37">
        <v>1</v>
      </c>
      <c r="BE37">
        <v>22</v>
      </c>
      <c r="BF37">
        <v>48273</v>
      </c>
      <c r="BG37">
        <v>4221</v>
      </c>
    </row>
    <row r="38" spans="1:59" x14ac:dyDescent="0.3">
      <c r="A38" s="3">
        <v>45328</v>
      </c>
      <c r="B38" t="s">
        <v>61</v>
      </c>
      <c r="C38">
        <v>2</v>
      </c>
      <c r="D38">
        <v>609</v>
      </c>
      <c r="E38">
        <v>624</v>
      </c>
      <c r="F38">
        <v>27</v>
      </c>
      <c r="G38">
        <v>19</v>
      </c>
      <c r="H38">
        <v>20</v>
      </c>
      <c r="I38">
        <v>6</v>
      </c>
      <c r="J38">
        <v>12</v>
      </c>
      <c r="K38">
        <v>6</v>
      </c>
      <c r="L38">
        <v>38</v>
      </c>
      <c r="M38">
        <v>27</v>
      </c>
      <c r="N38">
        <v>41</v>
      </c>
      <c r="O38">
        <v>16</v>
      </c>
      <c r="P38">
        <v>3</v>
      </c>
      <c r="Q38">
        <v>6</v>
      </c>
      <c r="R38">
        <v>22</v>
      </c>
      <c r="S38">
        <v>19</v>
      </c>
      <c r="T38">
        <v>37</v>
      </c>
      <c r="U38">
        <v>28</v>
      </c>
      <c r="V38">
        <v>33</v>
      </c>
      <c r="W38">
        <v>13</v>
      </c>
      <c r="X38">
        <v>38</v>
      </c>
      <c r="Y38">
        <v>47</v>
      </c>
      <c r="Z38">
        <v>0</v>
      </c>
      <c r="AA38">
        <v>37</v>
      </c>
      <c r="AB38">
        <v>27</v>
      </c>
      <c r="AC38">
        <v>13</v>
      </c>
      <c r="AD38">
        <v>23</v>
      </c>
      <c r="AE38">
        <v>18</v>
      </c>
      <c r="AF38">
        <v>48</v>
      </c>
      <c r="AG38">
        <v>44</v>
      </c>
      <c r="AH38">
        <v>48</v>
      </c>
      <c r="AI38">
        <v>31</v>
      </c>
      <c r="AJ38">
        <v>13</v>
      </c>
      <c r="AK38">
        <v>2</v>
      </c>
      <c r="AL38">
        <v>30</v>
      </c>
      <c r="AM38">
        <v>4</v>
      </c>
      <c r="AN38">
        <v>42</v>
      </c>
      <c r="AO38">
        <v>16</v>
      </c>
      <c r="AP38">
        <v>21</v>
      </c>
      <c r="AQ38">
        <v>18</v>
      </c>
      <c r="AR38">
        <v>49</v>
      </c>
      <c r="AS38">
        <v>41</v>
      </c>
      <c r="AT38">
        <v>5</v>
      </c>
      <c r="AU38">
        <v>39</v>
      </c>
      <c r="AV38">
        <v>35</v>
      </c>
      <c r="AW38">
        <v>39</v>
      </c>
      <c r="AX38">
        <v>48</v>
      </c>
      <c r="AY38">
        <v>7</v>
      </c>
      <c r="AZ38">
        <v>18</v>
      </c>
      <c r="BA38">
        <v>49</v>
      </c>
      <c r="BB38">
        <v>46</v>
      </c>
      <c r="BC38">
        <v>18</v>
      </c>
      <c r="BD38">
        <v>24</v>
      </c>
      <c r="BE38">
        <v>7</v>
      </c>
      <c r="BF38">
        <v>48824</v>
      </c>
      <c r="BG38">
        <v>4233</v>
      </c>
    </row>
    <row r="39" spans="1:59" x14ac:dyDescent="0.3">
      <c r="A39" s="3">
        <v>45329</v>
      </c>
      <c r="B39" t="s">
        <v>61</v>
      </c>
      <c r="C39">
        <v>2</v>
      </c>
      <c r="D39">
        <v>610</v>
      </c>
      <c r="E39">
        <v>625</v>
      </c>
      <c r="F39">
        <v>14</v>
      </c>
      <c r="G39">
        <v>28</v>
      </c>
      <c r="H39">
        <v>23</v>
      </c>
      <c r="I39">
        <v>29</v>
      </c>
      <c r="J39">
        <v>33</v>
      </c>
      <c r="K39">
        <v>21</v>
      </c>
      <c r="L39">
        <v>20</v>
      </c>
      <c r="M39">
        <v>44</v>
      </c>
      <c r="N39">
        <v>27</v>
      </c>
      <c r="O39">
        <v>31</v>
      </c>
      <c r="P39">
        <v>24</v>
      </c>
      <c r="Q39">
        <v>20</v>
      </c>
      <c r="R39">
        <v>18</v>
      </c>
      <c r="S39">
        <v>45</v>
      </c>
      <c r="T39">
        <v>13</v>
      </c>
      <c r="U39">
        <v>33</v>
      </c>
      <c r="V39">
        <v>21</v>
      </c>
      <c r="W39">
        <v>32</v>
      </c>
      <c r="X39">
        <v>49</v>
      </c>
      <c r="Y39">
        <v>35</v>
      </c>
      <c r="Z39">
        <v>29</v>
      </c>
      <c r="AA39">
        <v>35</v>
      </c>
      <c r="AB39">
        <v>20</v>
      </c>
      <c r="AC39">
        <v>34</v>
      </c>
      <c r="AD39">
        <v>38</v>
      </c>
      <c r="AE39">
        <v>45</v>
      </c>
      <c r="AF39">
        <v>46</v>
      </c>
      <c r="AG39">
        <v>17</v>
      </c>
      <c r="AH39">
        <v>37</v>
      </c>
      <c r="AI39">
        <v>46</v>
      </c>
      <c r="AJ39">
        <v>8</v>
      </c>
      <c r="AK39">
        <v>27</v>
      </c>
      <c r="AL39">
        <v>26</v>
      </c>
      <c r="AM39">
        <v>0</v>
      </c>
      <c r="AN39">
        <v>10</v>
      </c>
      <c r="AO39">
        <v>29</v>
      </c>
      <c r="AP39">
        <v>40</v>
      </c>
      <c r="AQ39">
        <v>27</v>
      </c>
      <c r="AR39">
        <v>7</v>
      </c>
      <c r="AS39">
        <v>32</v>
      </c>
      <c r="AT39">
        <v>48</v>
      </c>
      <c r="AU39">
        <v>20</v>
      </c>
      <c r="AV39">
        <v>17</v>
      </c>
      <c r="AW39">
        <v>46</v>
      </c>
      <c r="AX39">
        <v>45</v>
      </c>
      <c r="AY39">
        <v>47</v>
      </c>
      <c r="AZ39">
        <v>17</v>
      </c>
      <c r="BA39">
        <v>23</v>
      </c>
      <c r="BB39">
        <v>37</v>
      </c>
      <c r="BC39">
        <v>42</v>
      </c>
      <c r="BD39">
        <v>39</v>
      </c>
      <c r="BE39">
        <v>11</v>
      </c>
      <c r="BF39">
        <v>49375</v>
      </c>
      <c r="BG39">
        <v>4246</v>
      </c>
    </row>
    <row r="40" spans="1:59" x14ac:dyDescent="0.3">
      <c r="A40" s="3">
        <v>45330</v>
      </c>
      <c r="B40" t="s">
        <v>61</v>
      </c>
      <c r="C40">
        <v>2</v>
      </c>
      <c r="D40">
        <v>612</v>
      </c>
      <c r="E40">
        <v>626</v>
      </c>
      <c r="F40">
        <v>6</v>
      </c>
      <c r="G40">
        <v>47</v>
      </c>
      <c r="H40">
        <v>23</v>
      </c>
      <c r="I40">
        <v>1</v>
      </c>
      <c r="J40">
        <v>35</v>
      </c>
      <c r="K40">
        <v>45</v>
      </c>
      <c r="L40">
        <v>43</v>
      </c>
      <c r="M40">
        <v>24</v>
      </c>
      <c r="N40">
        <v>4</v>
      </c>
      <c r="O40">
        <v>14</v>
      </c>
      <c r="P40">
        <v>7</v>
      </c>
      <c r="Q40">
        <v>40</v>
      </c>
      <c r="R40">
        <v>48</v>
      </c>
      <c r="S40">
        <v>19</v>
      </c>
      <c r="T40">
        <v>47</v>
      </c>
      <c r="U40">
        <v>27</v>
      </c>
      <c r="V40">
        <v>33</v>
      </c>
      <c r="W40">
        <v>2</v>
      </c>
      <c r="X40">
        <v>45</v>
      </c>
      <c r="Y40">
        <v>20</v>
      </c>
      <c r="Z40">
        <v>8</v>
      </c>
      <c r="AA40">
        <v>42</v>
      </c>
      <c r="AB40">
        <v>7</v>
      </c>
      <c r="AC40">
        <v>27</v>
      </c>
      <c r="AD40">
        <v>27</v>
      </c>
      <c r="AE40">
        <v>8</v>
      </c>
      <c r="AF40">
        <v>41</v>
      </c>
      <c r="AG40">
        <v>38</v>
      </c>
      <c r="AH40">
        <v>15</v>
      </c>
      <c r="AI40">
        <v>22</v>
      </c>
      <c r="AJ40">
        <v>3</v>
      </c>
      <c r="AK40">
        <v>27</v>
      </c>
      <c r="AL40">
        <v>28</v>
      </c>
      <c r="AM40">
        <v>48</v>
      </c>
      <c r="AN40">
        <v>43</v>
      </c>
      <c r="AO40">
        <v>23</v>
      </c>
      <c r="AP40">
        <v>16</v>
      </c>
      <c r="AQ40">
        <v>43</v>
      </c>
      <c r="AR40">
        <v>43</v>
      </c>
      <c r="AS40">
        <v>29</v>
      </c>
      <c r="AT40">
        <v>1</v>
      </c>
      <c r="AU40">
        <v>21</v>
      </c>
      <c r="AV40">
        <v>47</v>
      </c>
      <c r="AW40">
        <v>13</v>
      </c>
      <c r="AX40">
        <v>5</v>
      </c>
      <c r="AY40">
        <v>23</v>
      </c>
      <c r="AZ40">
        <v>5</v>
      </c>
      <c r="BA40">
        <v>48</v>
      </c>
      <c r="BB40">
        <v>5</v>
      </c>
      <c r="BC40">
        <v>32</v>
      </c>
      <c r="BD40">
        <v>19</v>
      </c>
      <c r="BE40">
        <v>11</v>
      </c>
      <c r="BF40">
        <v>49926</v>
      </c>
      <c r="BG40">
        <v>4258</v>
      </c>
    </row>
    <row r="41" spans="1:59" x14ac:dyDescent="0.3">
      <c r="A41" s="3">
        <v>45331</v>
      </c>
      <c r="B41" t="s">
        <v>61</v>
      </c>
      <c r="C41">
        <v>2</v>
      </c>
      <c r="D41">
        <v>614</v>
      </c>
      <c r="E41">
        <v>626</v>
      </c>
      <c r="F41">
        <v>14</v>
      </c>
      <c r="G41">
        <v>22</v>
      </c>
      <c r="H41">
        <v>24</v>
      </c>
      <c r="I41">
        <v>44</v>
      </c>
      <c r="J41">
        <v>22</v>
      </c>
      <c r="K41">
        <v>18</v>
      </c>
      <c r="L41">
        <v>35</v>
      </c>
      <c r="M41">
        <v>6</v>
      </c>
      <c r="N41">
        <v>29</v>
      </c>
      <c r="O41">
        <v>47</v>
      </c>
      <c r="P41">
        <v>25</v>
      </c>
      <c r="Q41">
        <v>42</v>
      </c>
      <c r="R41">
        <v>38</v>
      </c>
      <c r="S41">
        <v>36</v>
      </c>
      <c r="T41">
        <v>18</v>
      </c>
      <c r="U41">
        <v>33</v>
      </c>
      <c r="V41">
        <v>8</v>
      </c>
      <c r="W41">
        <v>40</v>
      </c>
      <c r="X41">
        <v>13</v>
      </c>
      <c r="Y41">
        <v>22</v>
      </c>
      <c r="Z41">
        <v>18</v>
      </c>
      <c r="AA41">
        <v>48</v>
      </c>
      <c r="AB41">
        <v>38</v>
      </c>
      <c r="AC41">
        <v>37</v>
      </c>
      <c r="AD41">
        <v>43</v>
      </c>
      <c r="AE41">
        <v>30</v>
      </c>
      <c r="AF41">
        <v>29</v>
      </c>
      <c r="AG41">
        <v>12</v>
      </c>
      <c r="AH41">
        <v>4</v>
      </c>
      <c r="AI41">
        <v>15</v>
      </c>
      <c r="AJ41">
        <v>10</v>
      </c>
      <c r="AK41">
        <v>45</v>
      </c>
      <c r="AL41">
        <v>39</v>
      </c>
      <c r="AM41">
        <v>3</v>
      </c>
      <c r="AN41">
        <v>28</v>
      </c>
      <c r="AO41">
        <v>21</v>
      </c>
      <c r="AP41">
        <v>42</v>
      </c>
      <c r="AQ41">
        <v>46</v>
      </c>
      <c r="AR41">
        <v>29</v>
      </c>
      <c r="AS41">
        <v>39</v>
      </c>
      <c r="AT41">
        <v>30</v>
      </c>
      <c r="AU41">
        <v>6</v>
      </c>
      <c r="AV41">
        <v>30</v>
      </c>
      <c r="AW41">
        <v>40</v>
      </c>
      <c r="AX41">
        <v>16</v>
      </c>
      <c r="AY41">
        <v>47</v>
      </c>
      <c r="AZ41">
        <v>9</v>
      </c>
      <c r="BA41">
        <v>24</v>
      </c>
      <c r="BB41">
        <v>28</v>
      </c>
      <c r="BC41">
        <v>28</v>
      </c>
      <c r="BD41">
        <v>17</v>
      </c>
      <c r="BE41">
        <v>17</v>
      </c>
      <c r="BF41">
        <v>50476</v>
      </c>
      <c r="BG41">
        <v>4270</v>
      </c>
    </row>
    <row r="42" spans="1:59" x14ac:dyDescent="0.3">
      <c r="A42" s="3">
        <v>45332</v>
      </c>
      <c r="B42" t="s">
        <v>61</v>
      </c>
      <c r="C42">
        <v>2</v>
      </c>
      <c r="D42">
        <v>615</v>
      </c>
      <c r="E42">
        <v>627</v>
      </c>
      <c r="F42">
        <v>41</v>
      </c>
      <c r="G42">
        <v>48</v>
      </c>
      <c r="H42">
        <v>24</v>
      </c>
      <c r="I42">
        <v>23</v>
      </c>
      <c r="J42">
        <v>29</v>
      </c>
      <c r="K42">
        <v>13</v>
      </c>
      <c r="L42">
        <v>41</v>
      </c>
      <c r="M42">
        <v>19</v>
      </c>
      <c r="N42">
        <v>36</v>
      </c>
      <c r="O42">
        <v>29</v>
      </c>
      <c r="P42">
        <v>18</v>
      </c>
      <c r="Q42">
        <v>23</v>
      </c>
      <c r="R42">
        <v>23</v>
      </c>
      <c r="S42">
        <v>21</v>
      </c>
      <c r="T42">
        <v>36</v>
      </c>
      <c r="U42">
        <v>35</v>
      </c>
      <c r="V42">
        <v>31</v>
      </c>
      <c r="W42">
        <v>14</v>
      </c>
      <c r="X42">
        <v>14</v>
      </c>
      <c r="Y42">
        <v>14</v>
      </c>
      <c r="Z42">
        <v>29</v>
      </c>
      <c r="AA42">
        <v>32</v>
      </c>
      <c r="AB42">
        <v>28</v>
      </c>
      <c r="AC42">
        <v>29</v>
      </c>
      <c r="AD42">
        <v>16</v>
      </c>
      <c r="AE42">
        <v>35</v>
      </c>
      <c r="AF42">
        <v>9</v>
      </c>
      <c r="AG42">
        <v>47</v>
      </c>
      <c r="AH42">
        <v>35</v>
      </c>
      <c r="AI42">
        <v>32</v>
      </c>
      <c r="AJ42">
        <v>42</v>
      </c>
      <c r="AK42">
        <v>35</v>
      </c>
      <c r="AL42">
        <v>28</v>
      </c>
      <c r="AM42">
        <v>11</v>
      </c>
      <c r="AN42">
        <v>13</v>
      </c>
      <c r="AO42">
        <v>10</v>
      </c>
      <c r="AP42">
        <v>10</v>
      </c>
      <c r="AQ42">
        <v>28</v>
      </c>
      <c r="AR42">
        <v>33</v>
      </c>
      <c r="AS42">
        <v>5</v>
      </c>
      <c r="AT42">
        <v>48</v>
      </c>
      <c r="AU42">
        <v>25</v>
      </c>
      <c r="AV42">
        <v>8</v>
      </c>
      <c r="AW42">
        <v>29</v>
      </c>
      <c r="AX42">
        <v>1</v>
      </c>
      <c r="AY42">
        <v>36</v>
      </c>
      <c r="AZ42">
        <v>41</v>
      </c>
      <c r="BA42">
        <v>15</v>
      </c>
      <c r="BB42">
        <v>41</v>
      </c>
      <c r="BC42">
        <v>4</v>
      </c>
      <c r="BD42">
        <v>33</v>
      </c>
      <c r="BE42">
        <v>13</v>
      </c>
      <c r="BF42">
        <v>51027</v>
      </c>
      <c r="BG42">
        <v>4282</v>
      </c>
    </row>
    <row r="43" spans="1:59" x14ac:dyDescent="0.3">
      <c r="A43" s="3">
        <v>45333</v>
      </c>
      <c r="B43" t="s">
        <v>61</v>
      </c>
      <c r="C43">
        <v>2</v>
      </c>
      <c r="D43">
        <v>617</v>
      </c>
      <c r="E43">
        <v>628</v>
      </c>
      <c r="F43">
        <v>0</v>
      </c>
      <c r="G43">
        <v>5</v>
      </c>
      <c r="H43">
        <v>43</v>
      </c>
      <c r="I43">
        <v>42</v>
      </c>
      <c r="J43">
        <v>45</v>
      </c>
      <c r="K43">
        <v>13</v>
      </c>
      <c r="L43">
        <v>36</v>
      </c>
      <c r="M43">
        <v>9</v>
      </c>
      <c r="N43">
        <v>48</v>
      </c>
      <c r="O43">
        <v>43</v>
      </c>
      <c r="P43">
        <v>33</v>
      </c>
      <c r="Q43">
        <v>29</v>
      </c>
      <c r="R43">
        <v>7</v>
      </c>
      <c r="S43">
        <v>15</v>
      </c>
      <c r="T43">
        <v>49</v>
      </c>
      <c r="U43">
        <v>39</v>
      </c>
      <c r="V43">
        <v>10</v>
      </c>
      <c r="W43">
        <v>4</v>
      </c>
      <c r="X43">
        <v>2</v>
      </c>
      <c r="Y43">
        <v>32</v>
      </c>
      <c r="Z43">
        <v>24</v>
      </c>
      <c r="AA43">
        <v>15</v>
      </c>
      <c r="AB43">
        <v>23</v>
      </c>
      <c r="AC43">
        <v>38</v>
      </c>
      <c r="AD43">
        <v>39</v>
      </c>
      <c r="AE43">
        <v>5</v>
      </c>
      <c r="AF43">
        <v>21</v>
      </c>
      <c r="AG43">
        <v>11</v>
      </c>
      <c r="AH43">
        <v>34</v>
      </c>
      <c r="AI43">
        <v>32</v>
      </c>
      <c r="AJ43">
        <v>19</v>
      </c>
      <c r="AK43">
        <v>40</v>
      </c>
      <c r="AL43">
        <v>16</v>
      </c>
      <c r="AM43">
        <v>13</v>
      </c>
      <c r="AN43">
        <v>28</v>
      </c>
      <c r="AO43">
        <v>40</v>
      </c>
      <c r="AP43">
        <v>20</v>
      </c>
      <c r="AQ43">
        <v>3</v>
      </c>
      <c r="AR43">
        <v>13</v>
      </c>
      <c r="AS43">
        <v>44</v>
      </c>
      <c r="AT43">
        <v>6</v>
      </c>
      <c r="AU43">
        <v>44</v>
      </c>
      <c r="AV43">
        <v>36</v>
      </c>
      <c r="AW43">
        <v>46</v>
      </c>
      <c r="AX43">
        <v>4</v>
      </c>
      <c r="AY43">
        <v>8</v>
      </c>
      <c r="AZ43">
        <v>26</v>
      </c>
      <c r="BA43">
        <v>32</v>
      </c>
      <c r="BB43">
        <v>4</v>
      </c>
      <c r="BC43">
        <v>33</v>
      </c>
      <c r="BD43">
        <v>23</v>
      </c>
      <c r="BE43">
        <v>30</v>
      </c>
      <c r="BF43">
        <v>51578</v>
      </c>
      <c r="BG43">
        <v>4294</v>
      </c>
    </row>
    <row r="44" spans="1:59" x14ac:dyDescent="0.3">
      <c r="A44" s="3">
        <v>45334</v>
      </c>
      <c r="B44" t="s">
        <v>61</v>
      </c>
      <c r="C44">
        <v>2</v>
      </c>
      <c r="D44">
        <v>619</v>
      </c>
      <c r="E44">
        <v>628</v>
      </c>
      <c r="F44">
        <v>28</v>
      </c>
      <c r="G44">
        <v>12</v>
      </c>
      <c r="H44">
        <v>14</v>
      </c>
      <c r="I44">
        <v>18</v>
      </c>
      <c r="J44">
        <v>6</v>
      </c>
      <c r="K44">
        <v>0</v>
      </c>
      <c r="L44">
        <v>19</v>
      </c>
      <c r="M44">
        <v>20</v>
      </c>
      <c r="N44">
        <v>15</v>
      </c>
      <c r="O44">
        <v>9</v>
      </c>
      <c r="P44">
        <v>28</v>
      </c>
      <c r="Q44">
        <v>20</v>
      </c>
      <c r="R44">
        <v>7</v>
      </c>
      <c r="S44">
        <v>0</v>
      </c>
      <c r="T44">
        <v>20</v>
      </c>
      <c r="U44">
        <v>3</v>
      </c>
      <c r="V44">
        <v>1</v>
      </c>
      <c r="W44">
        <v>43</v>
      </c>
      <c r="X44">
        <v>30</v>
      </c>
      <c r="Y44">
        <v>32</v>
      </c>
      <c r="Z44">
        <v>41</v>
      </c>
      <c r="AA44">
        <v>24</v>
      </c>
      <c r="AB44">
        <v>36</v>
      </c>
      <c r="AC44">
        <v>13</v>
      </c>
      <c r="AD44">
        <v>19</v>
      </c>
      <c r="AE44">
        <v>44</v>
      </c>
      <c r="AF44">
        <v>1</v>
      </c>
      <c r="AG44">
        <v>5</v>
      </c>
      <c r="AH44">
        <v>35</v>
      </c>
      <c r="AI44">
        <v>1</v>
      </c>
      <c r="AJ44">
        <v>19</v>
      </c>
      <c r="AK44">
        <v>38</v>
      </c>
      <c r="AL44">
        <v>8</v>
      </c>
      <c r="AM44">
        <v>44</v>
      </c>
      <c r="AN44">
        <v>16</v>
      </c>
      <c r="AO44">
        <v>6</v>
      </c>
      <c r="AP44">
        <v>20</v>
      </c>
      <c r="AQ44">
        <v>34</v>
      </c>
      <c r="AR44">
        <v>13</v>
      </c>
      <c r="AS44">
        <v>42</v>
      </c>
      <c r="AT44">
        <v>8</v>
      </c>
      <c r="AU44">
        <v>27</v>
      </c>
      <c r="AV44">
        <v>45</v>
      </c>
      <c r="AW44">
        <v>3</v>
      </c>
      <c r="AX44">
        <v>32</v>
      </c>
      <c r="AY44">
        <v>15</v>
      </c>
      <c r="AZ44">
        <v>24</v>
      </c>
      <c r="BA44">
        <v>27</v>
      </c>
      <c r="BB44">
        <v>17</v>
      </c>
      <c r="BC44">
        <v>30</v>
      </c>
      <c r="BD44">
        <v>37</v>
      </c>
      <c r="BE44">
        <v>13</v>
      </c>
      <c r="BF44">
        <v>52128</v>
      </c>
      <c r="BG44">
        <v>4306</v>
      </c>
    </row>
    <row r="45" spans="1:59" x14ac:dyDescent="0.3">
      <c r="A45" s="3">
        <v>45335</v>
      </c>
      <c r="B45" t="s">
        <v>61</v>
      </c>
      <c r="C45">
        <v>2</v>
      </c>
      <c r="D45">
        <v>620</v>
      </c>
      <c r="E45">
        <v>629</v>
      </c>
      <c r="F45">
        <v>47</v>
      </c>
      <c r="G45">
        <v>8</v>
      </c>
      <c r="H45">
        <v>33</v>
      </c>
      <c r="I45">
        <v>35</v>
      </c>
      <c r="J45">
        <v>36</v>
      </c>
      <c r="K45">
        <v>7</v>
      </c>
      <c r="L45">
        <v>18</v>
      </c>
      <c r="M45">
        <v>49</v>
      </c>
      <c r="N45">
        <v>16</v>
      </c>
      <c r="O45">
        <v>2</v>
      </c>
      <c r="P45">
        <v>25</v>
      </c>
      <c r="Q45">
        <v>10</v>
      </c>
      <c r="R45">
        <v>35</v>
      </c>
      <c r="S45">
        <v>3</v>
      </c>
      <c r="T45">
        <v>36</v>
      </c>
      <c r="U45">
        <v>1</v>
      </c>
      <c r="V45">
        <v>34</v>
      </c>
      <c r="W45">
        <v>18</v>
      </c>
      <c r="X45">
        <v>44</v>
      </c>
      <c r="Y45">
        <v>46</v>
      </c>
      <c r="Z45">
        <v>44</v>
      </c>
      <c r="AA45">
        <v>28</v>
      </c>
      <c r="AB45">
        <v>1</v>
      </c>
      <c r="AC45">
        <v>6</v>
      </c>
      <c r="AD45">
        <v>19</v>
      </c>
      <c r="AE45">
        <v>23</v>
      </c>
      <c r="AF45">
        <v>6</v>
      </c>
      <c r="AG45">
        <v>47</v>
      </c>
      <c r="AH45">
        <v>43</v>
      </c>
      <c r="AI45">
        <v>39</v>
      </c>
      <c r="AJ45">
        <v>31</v>
      </c>
      <c r="AK45">
        <v>40</v>
      </c>
      <c r="AL45">
        <v>15</v>
      </c>
      <c r="AM45">
        <v>7</v>
      </c>
      <c r="AN45">
        <v>47</v>
      </c>
      <c r="AO45">
        <v>20</v>
      </c>
      <c r="AP45">
        <v>40</v>
      </c>
      <c r="AQ45">
        <v>12</v>
      </c>
      <c r="AR45">
        <v>27</v>
      </c>
      <c r="AS45">
        <v>36</v>
      </c>
      <c r="AT45">
        <v>11</v>
      </c>
      <c r="AU45">
        <v>17</v>
      </c>
      <c r="AV45">
        <v>30</v>
      </c>
      <c r="AW45">
        <v>27</v>
      </c>
      <c r="AX45">
        <v>43</v>
      </c>
      <c r="AY45">
        <v>2</v>
      </c>
      <c r="AZ45">
        <v>0</v>
      </c>
      <c r="BA45">
        <v>25</v>
      </c>
      <c r="BB45">
        <v>17</v>
      </c>
      <c r="BC45">
        <v>18</v>
      </c>
      <c r="BD45">
        <v>25</v>
      </c>
      <c r="BE45">
        <v>45</v>
      </c>
      <c r="BF45">
        <v>52679</v>
      </c>
      <c r="BG45">
        <v>4318</v>
      </c>
    </row>
    <row r="46" spans="1:59" x14ac:dyDescent="0.3">
      <c r="A46" s="3">
        <v>45336</v>
      </c>
      <c r="B46" t="s">
        <v>61</v>
      </c>
      <c r="C46">
        <v>2</v>
      </c>
      <c r="D46">
        <v>622</v>
      </c>
      <c r="E46">
        <v>630</v>
      </c>
      <c r="F46">
        <v>22</v>
      </c>
      <c r="G46">
        <v>44</v>
      </c>
      <c r="H46">
        <v>22</v>
      </c>
      <c r="I46">
        <v>5</v>
      </c>
      <c r="J46">
        <v>32</v>
      </c>
      <c r="K46">
        <v>12</v>
      </c>
      <c r="L46">
        <v>36</v>
      </c>
      <c r="M46">
        <v>39</v>
      </c>
      <c r="N46">
        <v>15</v>
      </c>
      <c r="O46">
        <v>44</v>
      </c>
      <c r="P46">
        <v>19</v>
      </c>
      <c r="Q46">
        <v>34</v>
      </c>
      <c r="R46">
        <v>30</v>
      </c>
      <c r="S46">
        <v>26</v>
      </c>
      <c r="T46">
        <v>10</v>
      </c>
      <c r="U46">
        <v>14</v>
      </c>
      <c r="V46">
        <v>5</v>
      </c>
      <c r="W46">
        <v>21</v>
      </c>
      <c r="X46">
        <v>23</v>
      </c>
      <c r="Y46">
        <v>28</v>
      </c>
      <c r="Z46">
        <v>8</v>
      </c>
      <c r="AA46">
        <v>1</v>
      </c>
      <c r="AB46">
        <v>24</v>
      </c>
      <c r="AC46">
        <v>30</v>
      </c>
      <c r="AD46">
        <v>9</v>
      </c>
      <c r="AE46">
        <v>6</v>
      </c>
      <c r="AF46">
        <v>45</v>
      </c>
      <c r="AG46">
        <v>45</v>
      </c>
      <c r="AH46">
        <v>41</v>
      </c>
      <c r="AI46">
        <v>26</v>
      </c>
      <c r="AJ46">
        <v>28</v>
      </c>
      <c r="AK46">
        <v>32</v>
      </c>
      <c r="AL46">
        <v>41</v>
      </c>
      <c r="AM46">
        <v>33</v>
      </c>
      <c r="AN46">
        <v>42</v>
      </c>
      <c r="AO46">
        <v>37</v>
      </c>
      <c r="AP46">
        <v>39</v>
      </c>
      <c r="AQ46">
        <v>6</v>
      </c>
      <c r="AR46">
        <v>4</v>
      </c>
      <c r="AS46">
        <v>11</v>
      </c>
      <c r="AT46">
        <v>37</v>
      </c>
      <c r="AU46">
        <v>38</v>
      </c>
      <c r="AV46">
        <v>22</v>
      </c>
      <c r="AW46">
        <v>42</v>
      </c>
      <c r="AX46">
        <v>44</v>
      </c>
      <c r="AY46">
        <v>24</v>
      </c>
      <c r="AZ46">
        <v>10</v>
      </c>
      <c r="BA46">
        <v>30</v>
      </c>
      <c r="BB46">
        <v>45</v>
      </c>
      <c r="BC46">
        <v>41</v>
      </c>
      <c r="BD46">
        <v>9</v>
      </c>
      <c r="BE46">
        <v>44</v>
      </c>
      <c r="BF46">
        <v>53230</v>
      </c>
      <c r="BG46">
        <v>4330</v>
      </c>
    </row>
    <row r="47" spans="1:59" x14ac:dyDescent="0.3">
      <c r="A47" s="3">
        <v>45337</v>
      </c>
      <c r="B47" t="s">
        <v>61</v>
      </c>
      <c r="C47">
        <v>2</v>
      </c>
      <c r="D47">
        <v>623</v>
      </c>
      <c r="E47">
        <v>630</v>
      </c>
      <c r="F47">
        <v>9</v>
      </c>
      <c r="G47">
        <v>39</v>
      </c>
      <c r="H47">
        <v>28</v>
      </c>
      <c r="I47">
        <v>37</v>
      </c>
      <c r="J47">
        <v>10</v>
      </c>
      <c r="K47">
        <v>45</v>
      </c>
      <c r="L47">
        <v>18</v>
      </c>
      <c r="M47">
        <v>37</v>
      </c>
      <c r="N47">
        <v>35</v>
      </c>
      <c r="O47">
        <v>34</v>
      </c>
      <c r="P47">
        <v>30</v>
      </c>
      <c r="Q47">
        <v>46</v>
      </c>
      <c r="R47">
        <v>35</v>
      </c>
      <c r="S47">
        <v>10</v>
      </c>
      <c r="T47">
        <v>22</v>
      </c>
      <c r="U47">
        <v>46</v>
      </c>
      <c r="V47">
        <v>17</v>
      </c>
      <c r="W47">
        <v>2</v>
      </c>
      <c r="X47">
        <v>33</v>
      </c>
      <c r="Y47">
        <v>0</v>
      </c>
      <c r="Z47">
        <v>1</v>
      </c>
      <c r="AA47">
        <v>1</v>
      </c>
      <c r="AB47">
        <v>5</v>
      </c>
      <c r="AC47">
        <v>39</v>
      </c>
      <c r="AD47">
        <v>46</v>
      </c>
      <c r="AE47">
        <v>6</v>
      </c>
      <c r="AF47">
        <v>42</v>
      </c>
      <c r="AG47">
        <v>41</v>
      </c>
      <c r="AH47">
        <v>41</v>
      </c>
      <c r="AI47">
        <v>8</v>
      </c>
      <c r="AJ47">
        <v>32</v>
      </c>
      <c r="AK47">
        <v>28</v>
      </c>
      <c r="AL47">
        <v>28</v>
      </c>
      <c r="AM47">
        <v>29</v>
      </c>
      <c r="AN47">
        <v>12</v>
      </c>
      <c r="AO47">
        <v>38</v>
      </c>
      <c r="AP47">
        <v>45</v>
      </c>
      <c r="AQ47">
        <v>10</v>
      </c>
      <c r="AR47">
        <v>8</v>
      </c>
      <c r="AS47">
        <v>32</v>
      </c>
      <c r="AT47">
        <v>43</v>
      </c>
      <c r="AU47">
        <v>22</v>
      </c>
      <c r="AV47">
        <v>21</v>
      </c>
      <c r="AW47">
        <v>21</v>
      </c>
      <c r="AX47">
        <v>38</v>
      </c>
      <c r="AY47">
        <v>12</v>
      </c>
      <c r="AZ47">
        <v>33</v>
      </c>
      <c r="BA47">
        <v>47</v>
      </c>
      <c r="BB47">
        <v>3</v>
      </c>
      <c r="BC47">
        <v>38</v>
      </c>
      <c r="BD47">
        <v>41</v>
      </c>
      <c r="BE47">
        <v>12</v>
      </c>
      <c r="BF47">
        <v>53780</v>
      </c>
      <c r="BG47">
        <v>4342</v>
      </c>
    </row>
    <row r="48" spans="1:59" x14ac:dyDescent="0.3">
      <c r="A48" s="3">
        <v>45338</v>
      </c>
      <c r="B48" t="s">
        <v>61</v>
      </c>
      <c r="C48">
        <v>2</v>
      </c>
      <c r="D48">
        <v>625</v>
      </c>
      <c r="E48">
        <v>631</v>
      </c>
      <c r="F48">
        <v>3</v>
      </c>
      <c r="G48">
        <v>25</v>
      </c>
      <c r="H48">
        <v>23</v>
      </c>
      <c r="I48">
        <v>37</v>
      </c>
      <c r="J48">
        <v>19</v>
      </c>
      <c r="K48">
        <v>40</v>
      </c>
      <c r="L48">
        <v>27</v>
      </c>
      <c r="M48">
        <v>19</v>
      </c>
      <c r="N48">
        <v>49</v>
      </c>
      <c r="O48">
        <v>2</v>
      </c>
      <c r="P48">
        <v>36</v>
      </c>
      <c r="Q48">
        <v>10</v>
      </c>
      <c r="R48">
        <v>7</v>
      </c>
      <c r="S48">
        <v>9</v>
      </c>
      <c r="T48">
        <v>37</v>
      </c>
      <c r="U48">
        <v>16</v>
      </c>
      <c r="V48">
        <v>4</v>
      </c>
      <c r="W48">
        <v>42</v>
      </c>
      <c r="X48">
        <v>39</v>
      </c>
      <c r="Y48">
        <v>16</v>
      </c>
      <c r="Z48">
        <v>43</v>
      </c>
      <c r="AA48">
        <v>13</v>
      </c>
      <c r="AB48">
        <v>0</v>
      </c>
      <c r="AC48">
        <v>22</v>
      </c>
      <c r="AD48">
        <v>16</v>
      </c>
      <c r="AE48">
        <v>36</v>
      </c>
      <c r="AF48">
        <v>44</v>
      </c>
      <c r="AG48">
        <v>22</v>
      </c>
      <c r="AH48">
        <v>5</v>
      </c>
      <c r="AI48">
        <v>19</v>
      </c>
      <c r="AJ48">
        <v>25</v>
      </c>
      <c r="AK48">
        <v>25</v>
      </c>
      <c r="AL48">
        <v>13</v>
      </c>
      <c r="AM48">
        <v>35</v>
      </c>
      <c r="AN48">
        <v>45</v>
      </c>
      <c r="AO48">
        <v>13</v>
      </c>
      <c r="AP48">
        <v>2</v>
      </c>
      <c r="AQ48">
        <v>11</v>
      </c>
      <c r="AR48">
        <v>47</v>
      </c>
      <c r="AS48">
        <v>28</v>
      </c>
      <c r="AT48">
        <v>17</v>
      </c>
      <c r="AU48">
        <v>48</v>
      </c>
      <c r="AV48">
        <v>46</v>
      </c>
      <c r="AW48">
        <v>46</v>
      </c>
      <c r="AX48">
        <v>17</v>
      </c>
      <c r="AY48">
        <v>39</v>
      </c>
      <c r="AZ48">
        <v>45</v>
      </c>
      <c r="BA48">
        <v>10</v>
      </c>
      <c r="BB48">
        <v>47</v>
      </c>
      <c r="BC48">
        <v>13</v>
      </c>
      <c r="BD48">
        <v>9</v>
      </c>
      <c r="BE48">
        <v>2</v>
      </c>
      <c r="BF48">
        <v>54331</v>
      </c>
      <c r="BG48">
        <v>4354</v>
      </c>
    </row>
    <row r="49" spans="1:59" x14ac:dyDescent="0.3">
      <c r="A49" s="3">
        <v>45339</v>
      </c>
      <c r="B49" t="s">
        <v>61</v>
      </c>
      <c r="C49">
        <v>2</v>
      </c>
      <c r="D49">
        <v>627</v>
      </c>
      <c r="E49">
        <v>632</v>
      </c>
      <c r="F49">
        <v>19</v>
      </c>
      <c r="G49">
        <v>6</v>
      </c>
      <c r="H49">
        <v>13</v>
      </c>
      <c r="I49">
        <v>43</v>
      </c>
      <c r="J49">
        <v>13</v>
      </c>
      <c r="K49">
        <v>24</v>
      </c>
      <c r="L49">
        <v>14</v>
      </c>
      <c r="M49">
        <v>8</v>
      </c>
      <c r="N49">
        <v>28</v>
      </c>
      <c r="O49">
        <v>12</v>
      </c>
      <c r="P49">
        <v>20</v>
      </c>
      <c r="Q49">
        <v>27</v>
      </c>
      <c r="R49">
        <v>15</v>
      </c>
      <c r="S49">
        <v>8</v>
      </c>
      <c r="T49">
        <v>2</v>
      </c>
      <c r="U49">
        <v>20</v>
      </c>
      <c r="V49">
        <v>43</v>
      </c>
      <c r="W49">
        <v>27</v>
      </c>
      <c r="X49">
        <v>49</v>
      </c>
      <c r="Y49">
        <v>12</v>
      </c>
      <c r="Z49">
        <v>9</v>
      </c>
      <c r="AA49">
        <v>40</v>
      </c>
      <c r="AB49">
        <v>48</v>
      </c>
      <c r="AC49">
        <v>41</v>
      </c>
      <c r="AD49">
        <v>19</v>
      </c>
      <c r="AE49">
        <v>20</v>
      </c>
      <c r="AF49">
        <v>42</v>
      </c>
      <c r="AG49">
        <v>16</v>
      </c>
      <c r="AH49">
        <v>10</v>
      </c>
      <c r="AI49">
        <v>31</v>
      </c>
      <c r="AJ49">
        <v>27</v>
      </c>
      <c r="AK49">
        <v>32</v>
      </c>
      <c r="AL49">
        <v>31</v>
      </c>
      <c r="AM49">
        <v>28</v>
      </c>
      <c r="AN49">
        <v>44</v>
      </c>
      <c r="AO49">
        <v>10</v>
      </c>
      <c r="AP49">
        <v>38</v>
      </c>
      <c r="AQ49">
        <v>36</v>
      </c>
      <c r="AR49">
        <v>37</v>
      </c>
      <c r="AS49">
        <v>5</v>
      </c>
      <c r="AT49">
        <v>29</v>
      </c>
      <c r="AU49">
        <v>14</v>
      </c>
      <c r="AV49">
        <v>28</v>
      </c>
      <c r="AW49">
        <v>38</v>
      </c>
      <c r="AX49">
        <v>10</v>
      </c>
      <c r="AY49">
        <v>8</v>
      </c>
      <c r="AZ49">
        <v>2</v>
      </c>
      <c r="BA49">
        <v>23</v>
      </c>
      <c r="BB49">
        <v>3</v>
      </c>
      <c r="BC49">
        <v>12</v>
      </c>
      <c r="BD49">
        <v>11</v>
      </c>
      <c r="BE49">
        <v>39</v>
      </c>
      <c r="BF49">
        <v>54882</v>
      </c>
      <c r="BG49">
        <v>4366</v>
      </c>
    </row>
    <row r="50" spans="1:59" x14ac:dyDescent="0.3">
      <c r="A50" s="3">
        <v>45340</v>
      </c>
      <c r="B50" t="s">
        <v>61</v>
      </c>
      <c r="C50">
        <v>2</v>
      </c>
      <c r="D50">
        <v>628</v>
      </c>
      <c r="E50">
        <v>632</v>
      </c>
      <c r="F50">
        <v>9</v>
      </c>
      <c r="G50">
        <v>32</v>
      </c>
      <c r="H50">
        <v>16</v>
      </c>
      <c r="I50">
        <v>25</v>
      </c>
      <c r="J50">
        <v>4</v>
      </c>
      <c r="K50">
        <v>40</v>
      </c>
      <c r="L50">
        <v>4</v>
      </c>
      <c r="M50">
        <v>24</v>
      </c>
      <c r="N50">
        <v>21</v>
      </c>
      <c r="O50">
        <v>26</v>
      </c>
      <c r="P50">
        <v>35</v>
      </c>
      <c r="Q50">
        <v>5</v>
      </c>
      <c r="R50">
        <v>4</v>
      </c>
      <c r="S50">
        <v>18</v>
      </c>
      <c r="T50">
        <v>7</v>
      </c>
      <c r="U50">
        <v>43</v>
      </c>
      <c r="V50">
        <v>24</v>
      </c>
      <c r="W50">
        <v>29</v>
      </c>
      <c r="X50">
        <v>42</v>
      </c>
      <c r="Y50">
        <v>11</v>
      </c>
      <c r="Z50">
        <v>26</v>
      </c>
      <c r="AA50">
        <v>14</v>
      </c>
      <c r="AB50">
        <v>2</v>
      </c>
      <c r="AC50">
        <v>33</v>
      </c>
      <c r="AD50">
        <v>40</v>
      </c>
      <c r="AE50">
        <v>0</v>
      </c>
      <c r="AF50">
        <v>47</v>
      </c>
      <c r="AG50">
        <v>44</v>
      </c>
      <c r="AH50">
        <v>15</v>
      </c>
      <c r="AI50">
        <v>0</v>
      </c>
      <c r="AJ50">
        <v>13</v>
      </c>
      <c r="AK50">
        <v>25</v>
      </c>
      <c r="AL50">
        <v>15</v>
      </c>
      <c r="AM50">
        <v>4</v>
      </c>
      <c r="AN50">
        <v>47</v>
      </c>
      <c r="AO50">
        <v>31</v>
      </c>
      <c r="AP50">
        <v>49</v>
      </c>
      <c r="AQ50">
        <v>28</v>
      </c>
      <c r="AR50">
        <v>13</v>
      </c>
      <c r="AS50">
        <v>21</v>
      </c>
      <c r="AT50">
        <v>29</v>
      </c>
      <c r="AU50">
        <v>25</v>
      </c>
      <c r="AV50">
        <v>2</v>
      </c>
      <c r="AW50">
        <v>49</v>
      </c>
      <c r="AX50">
        <v>19</v>
      </c>
      <c r="AY50">
        <v>21</v>
      </c>
      <c r="AZ50">
        <v>36</v>
      </c>
      <c r="BA50">
        <v>5</v>
      </c>
      <c r="BB50">
        <v>25</v>
      </c>
      <c r="BC50">
        <v>47</v>
      </c>
      <c r="BD50">
        <v>14</v>
      </c>
      <c r="BE50">
        <v>23</v>
      </c>
      <c r="BF50">
        <v>55432</v>
      </c>
      <c r="BG50">
        <v>4378</v>
      </c>
    </row>
    <row r="51" spans="1:59" x14ac:dyDescent="0.3">
      <c r="A51" s="3">
        <v>45341</v>
      </c>
      <c r="B51" t="s">
        <v>61</v>
      </c>
      <c r="C51">
        <v>2</v>
      </c>
      <c r="D51">
        <v>630</v>
      </c>
      <c r="E51">
        <v>633</v>
      </c>
      <c r="F51">
        <v>26</v>
      </c>
      <c r="G51">
        <v>35</v>
      </c>
      <c r="H51">
        <v>7</v>
      </c>
      <c r="I51">
        <v>31</v>
      </c>
      <c r="J51">
        <v>29</v>
      </c>
      <c r="K51">
        <v>1</v>
      </c>
      <c r="L51">
        <v>34</v>
      </c>
      <c r="M51">
        <v>14</v>
      </c>
      <c r="N51">
        <v>1</v>
      </c>
      <c r="O51">
        <v>28</v>
      </c>
      <c r="P51">
        <v>25</v>
      </c>
      <c r="Q51">
        <v>10</v>
      </c>
      <c r="R51">
        <v>11</v>
      </c>
      <c r="S51">
        <v>24</v>
      </c>
      <c r="T51">
        <v>2</v>
      </c>
      <c r="U51">
        <v>4</v>
      </c>
      <c r="V51">
        <v>23</v>
      </c>
      <c r="W51">
        <v>15</v>
      </c>
      <c r="X51">
        <v>40</v>
      </c>
      <c r="Y51">
        <v>16</v>
      </c>
      <c r="Z51">
        <v>38</v>
      </c>
      <c r="AA51">
        <v>42</v>
      </c>
      <c r="AB51">
        <v>36</v>
      </c>
      <c r="AC51">
        <v>24</v>
      </c>
      <c r="AD51">
        <v>3</v>
      </c>
      <c r="AE51">
        <v>24</v>
      </c>
      <c r="AF51">
        <v>39</v>
      </c>
      <c r="AG51">
        <v>33</v>
      </c>
      <c r="AH51">
        <v>3</v>
      </c>
      <c r="AI51">
        <v>42</v>
      </c>
      <c r="AJ51">
        <v>24</v>
      </c>
      <c r="AK51">
        <v>28</v>
      </c>
      <c r="AL51">
        <v>36</v>
      </c>
      <c r="AM51">
        <v>3</v>
      </c>
      <c r="AN51">
        <v>18</v>
      </c>
      <c r="AO51">
        <v>33</v>
      </c>
      <c r="AP51">
        <v>30</v>
      </c>
      <c r="AQ51">
        <v>13</v>
      </c>
      <c r="AR51">
        <v>36</v>
      </c>
      <c r="AS51">
        <v>21</v>
      </c>
      <c r="AT51">
        <v>7</v>
      </c>
      <c r="AU51">
        <v>5</v>
      </c>
      <c r="AV51">
        <v>24</v>
      </c>
      <c r="AW51">
        <v>43</v>
      </c>
      <c r="AX51">
        <v>17</v>
      </c>
      <c r="AY51">
        <v>2</v>
      </c>
      <c r="AZ51">
        <v>33</v>
      </c>
      <c r="BA51">
        <v>2</v>
      </c>
      <c r="BB51">
        <v>8</v>
      </c>
      <c r="BC51">
        <v>33</v>
      </c>
      <c r="BD51">
        <v>46</v>
      </c>
      <c r="BE51">
        <v>23</v>
      </c>
      <c r="BF51">
        <v>55983</v>
      </c>
      <c r="BG51">
        <v>4390</v>
      </c>
    </row>
    <row r="52" spans="1:59" x14ac:dyDescent="0.3">
      <c r="A52" s="3">
        <v>45342</v>
      </c>
      <c r="B52" t="s">
        <v>61</v>
      </c>
      <c r="C52">
        <v>2</v>
      </c>
      <c r="D52">
        <v>632</v>
      </c>
      <c r="E52">
        <v>634</v>
      </c>
      <c r="F52">
        <v>0</v>
      </c>
      <c r="G52">
        <v>42</v>
      </c>
      <c r="H52">
        <v>11</v>
      </c>
      <c r="I52">
        <v>20</v>
      </c>
      <c r="J52">
        <v>29</v>
      </c>
      <c r="K52">
        <v>21</v>
      </c>
      <c r="L52">
        <v>40</v>
      </c>
      <c r="M52">
        <v>37</v>
      </c>
      <c r="N52">
        <v>17</v>
      </c>
      <c r="O52">
        <v>23</v>
      </c>
      <c r="P52">
        <v>7</v>
      </c>
      <c r="Q52">
        <v>11</v>
      </c>
      <c r="R52">
        <v>5</v>
      </c>
      <c r="S52">
        <v>30</v>
      </c>
      <c r="T52">
        <v>14</v>
      </c>
      <c r="U52">
        <v>2</v>
      </c>
      <c r="V52">
        <v>14</v>
      </c>
      <c r="W52">
        <v>40</v>
      </c>
      <c r="X52">
        <v>16</v>
      </c>
      <c r="Y52">
        <v>31</v>
      </c>
      <c r="Z52">
        <v>7</v>
      </c>
      <c r="AA52">
        <v>42</v>
      </c>
      <c r="AB52">
        <v>40</v>
      </c>
      <c r="AC52">
        <v>18</v>
      </c>
      <c r="AD52">
        <v>36</v>
      </c>
      <c r="AE52">
        <v>27</v>
      </c>
      <c r="AF52">
        <v>3</v>
      </c>
      <c r="AG52">
        <v>47</v>
      </c>
      <c r="AH52">
        <v>1</v>
      </c>
      <c r="AI52">
        <v>1</v>
      </c>
      <c r="AJ52">
        <v>35</v>
      </c>
      <c r="AK52">
        <v>12</v>
      </c>
      <c r="AL52">
        <v>28</v>
      </c>
      <c r="AM52">
        <v>8</v>
      </c>
      <c r="AN52">
        <v>42</v>
      </c>
      <c r="AO52">
        <v>47</v>
      </c>
      <c r="AP52">
        <v>26</v>
      </c>
      <c r="AQ52">
        <v>32</v>
      </c>
      <c r="AR52">
        <v>32</v>
      </c>
      <c r="AS52">
        <v>24</v>
      </c>
      <c r="AT52">
        <v>9</v>
      </c>
      <c r="AU52">
        <v>48</v>
      </c>
      <c r="AV52">
        <v>9</v>
      </c>
      <c r="AW52">
        <v>47</v>
      </c>
      <c r="AX52">
        <v>3</v>
      </c>
      <c r="AY52">
        <v>40</v>
      </c>
      <c r="AZ52">
        <v>26</v>
      </c>
      <c r="BA52">
        <v>9</v>
      </c>
      <c r="BB52">
        <v>41</v>
      </c>
      <c r="BC52">
        <v>48</v>
      </c>
      <c r="BD52">
        <v>25</v>
      </c>
      <c r="BE52">
        <v>35</v>
      </c>
      <c r="BF52">
        <v>56534</v>
      </c>
      <c r="BG52">
        <v>4402</v>
      </c>
    </row>
    <row r="53" spans="1:59" x14ac:dyDescent="0.3">
      <c r="A53" s="3">
        <v>45343</v>
      </c>
      <c r="B53" t="s">
        <v>61</v>
      </c>
      <c r="C53">
        <v>2</v>
      </c>
      <c r="D53">
        <v>633</v>
      </c>
      <c r="E53">
        <v>634</v>
      </c>
      <c r="F53">
        <v>24</v>
      </c>
      <c r="G53">
        <v>41</v>
      </c>
      <c r="H53">
        <v>0</v>
      </c>
      <c r="I53">
        <v>0</v>
      </c>
      <c r="J53">
        <v>4</v>
      </c>
      <c r="K53">
        <v>19</v>
      </c>
      <c r="L53">
        <v>24</v>
      </c>
      <c r="M53">
        <v>4</v>
      </c>
      <c r="N53">
        <v>45</v>
      </c>
      <c r="O53">
        <v>46</v>
      </c>
      <c r="P53">
        <v>41</v>
      </c>
      <c r="Q53">
        <v>5</v>
      </c>
      <c r="R53">
        <v>21</v>
      </c>
      <c r="S53">
        <v>19</v>
      </c>
      <c r="T53">
        <v>12</v>
      </c>
      <c r="U53">
        <v>33</v>
      </c>
      <c r="V53">
        <v>21</v>
      </c>
      <c r="W53">
        <v>7</v>
      </c>
      <c r="X53">
        <v>8</v>
      </c>
      <c r="Y53">
        <v>23</v>
      </c>
      <c r="Z53">
        <v>47</v>
      </c>
      <c r="AA53">
        <v>7</v>
      </c>
      <c r="AB53">
        <v>11</v>
      </c>
      <c r="AC53">
        <v>48</v>
      </c>
      <c r="AD53">
        <v>24</v>
      </c>
      <c r="AE53">
        <v>20</v>
      </c>
      <c r="AF53">
        <v>38</v>
      </c>
      <c r="AG53">
        <v>49</v>
      </c>
      <c r="AH53">
        <v>0</v>
      </c>
      <c r="AI53">
        <v>21</v>
      </c>
      <c r="AJ53">
        <v>18</v>
      </c>
      <c r="AK53">
        <v>3</v>
      </c>
      <c r="AL53">
        <v>49</v>
      </c>
      <c r="AM53">
        <v>4</v>
      </c>
      <c r="AN53">
        <v>4</v>
      </c>
      <c r="AO53">
        <v>14</v>
      </c>
      <c r="AP53">
        <v>8</v>
      </c>
      <c r="AQ53">
        <v>9</v>
      </c>
      <c r="AR53">
        <v>49</v>
      </c>
      <c r="AS53">
        <v>23</v>
      </c>
      <c r="AT53">
        <v>21</v>
      </c>
      <c r="AU53">
        <v>21</v>
      </c>
      <c r="AV53">
        <v>43</v>
      </c>
      <c r="AW53">
        <v>10</v>
      </c>
      <c r="AX53">
        <v>3</v>
      </c>
      <c r="AY53">
        <v>18</v>
      </c>
      <c r="AZ53">
        <v>27</v>
      </c>
      <c r="BA53">
        <v>4</v>
      </c>
      <c r="BB53">
        <v>38</v>
      </c>
      <c r="BC53">
        <v>6</v>
      </c>
      <c r="BD53">
        <v>35</v>
      </c>
      <c r="BE53">
        <v>25</v>
      </c>
      <c r="BF53">
        <v>57084</v>
      </c>
      <c r="BG53">
        <v>4414</v>
      </c>
    </row>
    <row r="54" spans="1:59" x14ac:dyDescent="0.3">
      <c r="A54" s="3">
        <v>45344</v>
      </c>
      <c r="B54" t="s">
        <v>61</v>
      </c>
      <c r="C54">
        <v>2</v>
      </c>
      <c r="D54">
        <v>635</v>
      </c>
      <c r="E54">
        <v>635</v>
      </c>
      <c r="F54">
        <v>28</v>
      </c>
      <c r="G54">
        <v>47</v>
      </c>
      <c r="H54">
        <v>1</v>
      </c>
      <c r="I54">
        <v>24</v>
      </c>
      <c r="J54">
        <v>24</v>
      </c>
      <c r="K54">
        <v>28</v>
      </c>
      <c r="L54">
        <v>46</v>
      </c>
      <c r="M54">
        <v>0</v>
      </c>
      <c r="N54">
        <v>7</v>
      </c>
      <c r="O54">
        <v>43</v>
      </c>
      <c r="P54">
        <v>18</v>
      </c>
      <c r="Q54">
        <v>28</v>
      </c>
      <c r="R54">
        <v>15</v>
      </c>
      <c r="S54">
        <v>39</v>
      </c>
      <c r="T54">
        <v>42</v>
      </c>
      <c r="U54">
        <v>37</v>
      </c>
      <c r="V54">
        <v>43</v>
      </c>
      <c r="W54">
        <v>39</v>
      </c>
      <c r="X54">
        <v>12</v>
      </c>
      <c r="Y54">
        <v>27</v>
      </c>
      <c r="Z54">
        <v>33</v>
      </c>
      <c r="AA54">
        <v>27</v>
      </c>
      <c r="AB54">
        <v>25</v>
      </c>
      <c r="AC54">
        <v>43</v>
      </c>
      <c r="AD54">
        <v>36</v>
      </c>
      <c r="AE54">
        <v>25</v>
      </c>
      <c r="AF54">
        <v>27</v>
      </c>
      <c r="AG54">
        <v>38</v>
      </c>
      <c r="AH54">
        <v>49</v>
      </c>
      <c r="AI54">
        <v>13</v>
      </c>
      <c r="AJ54">
        <v>36</v>
      </c>
      <c r="AK54">
        <v>9</v>
      </c>
      <c r="AL54">
        <v>13</v>
      </c>
      <c r="AM54">
        <v>5</v>
      </c>
      <c r="AN54">
        <v>20</v>
      </c>
      <c r="AO54">
        <v>43</v>
      </c>
      <c r="AP54">
        <v>13</v>
      </c>
      <c r="AQ54">
        <v>43</v>
      </c>
      <c r="AR54">
        <v>19</v>
      </c>
      <c r="AS54">
        <v>34</v>
      </c>
      <c r="AT54">
        <v>10</v>
      </c>
      <c r="AU54">
        <v>20</v>
      </c>
      <c r="AV54">
        <v>22</v>
      </c>
      <c r="AW54">
        <v>20</v>
      </c>
      <c r="AX54">
        <v>44</v>
      </c>
      <c r="AY54">
        <v>14</v>
      </c>
      <c r="AZ54">
        <v>34</v>
      </c>
      <c r="BA54">
        <v>13</v>
      </c>
      <c r="BB54">
        <v>42</v>
      </c>
      <c r="BC54">
        <v>24</v>
      </c>
      <c r="BD54">
        <v>39</v>
      </c>
      <c r="BE54">
        <v>19</v>
      </c>
      <c r="BF54">
        <v>57635</v>
      </c>
      <c r="BG54">
        <v>4426</v>
      </c>
    </row>
    <row r="55" spans="1:59" x14ac:dyDescent="0.3">
      <c r="A55" s="3">
        <v>45345</v>
      </c>
      <c r="B55" t="s">
        <v>61</v>
      </c>
      <c r="C55">
        <v>2</v>
      </c>
      <c r="D55">
        <v>637</v>
      </c>
      <c r="E55">
        <v>636</v>
      </c>
      <c r="F55">
        <v>12</v>
      </c>
      <c r="G55">
        <v>36</v>
      </c>
      <c r="H55">
        <v>30</v>
      </c>
      <c r="I55">
        <v>28</v>
      </c>
      <c r="J55">
        <v>34</v>
      </c>
      <c r="K55">
        <v>34</v>
      </c>
      <c r="L55">
        <v>38</v>
      </c>
      <c r="M55">
        <v>26</v>
      </c>
      <c r="N55">
        <v>5</v>
      </c>
      <c r="O55">
        <v>44</v>
      </c>
      <c r="P55">
        <v>44</v>
      </c>
      <c r="Q55">
        <v>45</v>
      </c>
      <c r="R55">
        <v>13</v>
      </c>
      <c r="S55">
        <v>29</v>
      </c>
      <c r="T55">
        <v>11</v>
      </c>
      <c r="U55">
        <v>45</v>
      </c>
      <c r="V55">
        <v>41</v>
      </c>
      <c r="W55">
        <v>34</v>
      </c>
      <c r="X55">
        <v>11</v>
      </c>
      <c r="Y55">
        <v>30</v>
      </c>
      <c r="Z55">
        <v>42</v>
      </c>
      <c r="AA55">
        <v>37</v>
      </c>
      <c r="AB55">
        <v>36</v>
      </c>
      <c r="AC55">
        <v>8</v>
      </c>
      <c r="AD55">
        <v>24</v>
      </c>
      <c r="AE55">
        <v>11</v>
      </c>
      <c r="AF55">
        <v>30</v>
      </c>
      <c r="AG55">
        <v>8</v>
      </c>
      <c r="AH55">
        <v>48</v>
      </c>
      <c r="AI55">
        <v>10</v>
      </c>
      <c r="AJ55">
        <v>29</v>
      </c>
      <c r="AK55">
        <v>27</v>
      </c>
      <c r="AL55">
        <v>1</v>
      </c>
      <c r="AM55">
        <v>34</v>
      </c>
      <c r="AN55">
        <v>21</v>
      </c>
      <c r="AO55">
        <v>32</v>
      </c>
      <c r="AP55">
        <v>32</v>
      </c>
      <c r="AQ55">
        <v>10</v>
      </c>
      <c r="AR55">
        <v>36</v>
      </c>
      <c r="AS55">
        <v>13</v>
      </c>
      <c r="AT55">
        <v>2</v>
      </c>
      <c r="AU55">
        <v>11</v>
      </c>
      <c r="AV55">
        <v>43</v>
      </c>
      <c r="AW55">
        <v>40</v>
      </c>
      <c r="AX55">
        <v>8</v>
      </c>
      <c r="AY55">
        <v>44</v>
      </c>
      <c r="AZ55">
        <v>29</v>
      </c>
      <c r="BA55">
        <v>37</v>
      </c>
      <c r="BB55">
        <v>25</v>
      </c>
      <c r="BC55">
        <v>1</v>
      </c>
      <c r="BD55">
        <v>4</v>
      </c>
      <c r="BE55">
        <v>8</v>
      </c>
      <c r="BF55">
        <v>58186</v>
      </c>
      <c r="BG55">
        <v>4438</v>
      </c>
    </row>
    <row r="56" spans="1:59" x14ac:dyDescent="0.3">
      <c r="A56" s="3">
        <v>45346</v>
      </c>
      <c r="B56" t="s">
        <v>61</v>
      </c>
      <c r="C56">
        <v>2</v>
      </c>
      <c r="D56">
        <v>638</v>
      </c>
      <c r="E56">
        <v>636</v>
      </c>
      <c r="F56">
        <v>46</v>
      </c>
      <c r="G56">
        <v>19</v>
      </c>
      <c r="H56">
        <v>40</v>
      </c>
      <c r="I56">
        <v>24</v>
      </c>
      <c r="J56">
        <v>5</v>
      </c>
      <c r="K56">
        <v>25</v>
      </c>
      <c r="L56">
        <v>47</v>
      </c>
      <c r="M56">
        <v>4</v>
      </c>
      <c r="N56">
        <v>47</v>
      </c>
      <c r="O56">
        <v>20</v>
      </c>
      <c r="P56">
        <v>44</v>
      </c>
      <c r="Q56">
        <v>25</v>
      </c>
      <c r="R56">
        <v>3</v>
      </c>
      <c r="S56">
        <v>18</v>
      </c>
      <c r="T56">
        <v>22</v>
      </c>
      <c r="U56">
        <v>26</v>
      </c>
      <c r="V56">
        <v>46</v>
      </c>
      <c r="W56">
        <v>9</v>
      </c>
      <c r="X56">
        <v>19</v>
      </c>
      <c r="Y56">
        <v>42</v>
      </c>
      <c r="Z56">
        <v>23</v>
      </c>
      <c r="AA56">
        <v>13</v>
      </c>
      <c r="AB56">
        <v>43</v>
      </c>
      <c r="AC56">
        <v>33</v>
      </c>
      <c r="AD56">
        <v>40</v>
      </c>
      <c r="AE56">
        <v>7</v>
      </c>
      <c r="AF56">
        <v>31</v>
      </c>
      <c r="AG56">
        <v>44</v>
      </c>
      <c r="AH56">
        <v>6</v>
      </c>
      <c r="AI56">
        <v>19</v>
      </c>
      <c r="AJ56">
        <v>12</v>
      </c>
      <c r="AK56">
        <v>44</v>
      </c>
      <c r="AL56">
        <v>6</v>
      </c>
      <c r="AM56">
        <v>47</v>
      </c>
      <c r="AN56">
        <v>35</v>
      </c>
      <c r="AO56">
        <v>30</v>
      </c>
      <c r="AP56">
        <v>15</v>
      </c>
      <c r="AQ56">
        <v>29</v>
      </c>
      <c r="AR56">
        <v>31</v>
      </c>
      <c r="AS56">
        <v>40</v>
      </c>
      <c r="AT56">
        <v>12</v>
      </c>
      <c r="AU56">
        <v>48</v>
      </c>
      <c r="AV56">
        <v>39</v>
      </c>
      <c r="AW56">
        <v>10</v>
      </c>
      <c r="AX56">
        <v>20</v>
      </c>
      <c r="AY56">
        <v>40</v>
      </c>
      <c r="AZ56">
        <v>38</v>
      </c>
      <c r="BA56">
        <v>47</v>
      </c>
      <c r="BB56">
        <v>39</v>
      </c>
      <c r="BC56">
        <v>22</v>
      </c>
      <c r="BD56">
        <v>33</v>
      </c>
      <c r="BE56">
        <v>35</v>
      </c>
      <c r="BF56">
        <v>58736</v>
      </c>
      <c r="BG56">
        <v>4450</v>
      </c>
    </row>
    <row r="57" spans="1:59" x14ac:dyDescent="0.3">
      <c r="A57" s="3">
        <v>45347</v>
      </c>
      <c r="B57" t="s">
        <v>61</v>
      </c>
      <c r="C57">
        <v>2</v>
      </c>
      <c r="D57">
        <v>640</v>
      </c>
      <c r="E57">
        <v>637</v>
      </c>
      <c r="F57">
        <v>4</v>
      </c>
      <c r="G57">
        <v>36</v>
      </c>
      <c r="H57">
        <v>4</v>
      </c>
      <c r="I57">
        <v>3</v>
      </c>
      <c r="J57">
        <v>19</v>
      </c>
      <c r="K57">
        <v>24</v>
      </c>
      <c r="L57">
        <v>5</v>
      </c>
      <c r="M57">
        <v>37</v>
      </c>
      <c r="N57">
        <v>11</v>
      </c>
      <c r="O57">
        <v>47</v>
      </c>
      <c r="P57">
        <v>31</v>
      </c>
      <c r="Q57">
        <v>8</v>
      </c>
      <c r="R57">
        <v>39</v>
      </c>
      <c r="S57">
        <v>49</v>
      </c>
      <c r="T57">
        <v>6</v>
      </c>
      <c r="U57">
        <v>18</v>
      </c>
      <c r="V57">
        <v>23</v>
      </c>
      <c r="W57">
        <v>48</v>
      </c>
      <c r="X57">
        <v>5</v>
      </c>
      <c r="Y57">
        <v>33</v>
      </c>
      <c r="Z57">
        <v>0</v>
      </c>
      <c r="AA57">
        <v>45</v>
      </c>
      <c r="AB57">
        <v>48</v>
      </c>
      <c r="AC57">
        <v>36</v>
      </c>
      <c r="AD57">
        <v>31</v>
      </c>
      <c r="AE57">
        <v>35</v>
      </c>
      <c r="AF57">
        <v>9</v>
      </c>
      <c r="AG57">
        <v>32</v>
      </c>
      <c r="AH57">
        <v>16</v>
      </c>
      <c r="AI57">
        <v>31</v>
      </c>
      <c r="AJ57">
        <v>45</v>
      </c>
      <c r="AK57">
        <v>37</v>
      </c>
      <c r="AL57">
        <v>49</v>
      </c>
      <c r="AM57">
        <v>46</v>
      </c>
      <c r="AN57">
        <v>47</v>
      </c>
      <c r="AO57">
        <v>30</v>
      </c>
      <c r="AP57">
        <v>3</v>
      </c>
      <c r="AQ57">
        <v>10</v>
      </c>
      <c r="AR57">
        <v>17</v>
      </c>
      <c r="AS57">
        <v>24</v>
      </c>
      <c r="AT57">
        <v>6</v>
      </c>
      <c r="AU57">
        <v>46</v>
      </c>
      <c r="AV57">
        <v>32</v>
      </c>
      <c r="AW57">
        <v>1</v>
      </c>
      <c r="AX57">
        <v>42</v>
      </c>
      <c r="AY57">
        <v>31</v>
      </c>
      <c r="AZ57">
        <v>46</v>
      </c>
      <c r="BA57">
        <v>30</v>
      </c>
      <c r="BB57">
        <v>0</v>
      </c>
      <c r="BC57">
        <v>20</v>
      </c>
      <c r="BD57">
        <v>3</v>
      </c>
      <c r="BE57">
        <v>11</v>
      </c>
      <c r="BF57">
        <v>59287</v>
      </c>
      <c r="BG57">
        <v>4463</v>
      </c>
    </row>
    <row r="58" spans="1:59" x14ac:dyDescent="0.3">
      <c r="A58" s="3">
        <v>45348</v>
      </c>
      <c r="B58" t="s">
        <v>61</v>
      </c>
      <c r="C58">
        <v>2</v>
      </c>
      <c r="D58">
        <v>642</v>
      </c>
      <c r="E58">
        <v>638</v>
      </c>
      <c r="F58">
        <v>41</v>
      </c>
      <c r="G58">
        <v>48</v>
      </c>
      <c r="H58">
        <v>48</v>
      </c>
      <c r="I58">
        <v>19</v>
      </c>
      <c r="J58">
        <v>3</v>
      </c>
      <c r="K58">
        <v>6</v>
      </c>
      <c r="L58">
        <v>14</v>
      </c>
      <c r="M58">
        <v>40</v>
      </c>
      <c r="N58">
        <v>35</v>
      </c>
      <c r="O58">
        <v>0</v>
      </c>
      <c r="P58">
        <v>25</v>
      </c>
      <c r="Q58">
        <v>1</v>
      </c>
      <c r="R58">
        <v>24</v>
      </c>
      <c r="S58">
        <v>38</v>
      </c>
      <c r="T58">
        <v>46</v>
      </c>
      <c r="U58">
        <v>30</v>
      </c>
      <c r="V58">
        <v>28</v>
      </c>
      <c r="W58">
        <v>40</v>
      </c>
      <c r="X58">
        <v>26</v>
      </c>
      <c r="Y58">
        <v>38</v>
      </c>
      <c r="Z58">
        <v>8</v>
      </c>
      <c r="AA58">
        <v>49</v>
      </c>
      <c r="AB58">
        <v>37</v>
      </c>
      <c r="AC58">
        <v>31</v>
      </c>
      <c r="AD58">
        <v>43</v>
      </c>
      <c r="AE58">
        <v>25</v>
      </c>
      <c r="AF58">
        <v>4</v>
      </c>
      <c r="AG58">
        <v>13</v>
      </c>
      <c r="AH58">
        <v>26</v>
      </c>
      <c r="AI58">
        <v>40</v>
      </c>
      <c r="AJ58">
        <v>44</v>
      </c>
      <c r="AK58">
        <v>28</v>
      </c>
      <c r="AL58">
        <v>6</v>
      </c>
      <c r="AM58">
        <v>10</v>
      </c>
      <c r="AN58">
        <v>5</v>
      </c>
      <c r="AO58">
        <v>10</v>
      </c>
      <c r="AP58">
        <v>17</v>
      </c>
      <c r="AQ58">
        <v>41</v>
      </c>
      <c r="AR58">
        <v>35</v>
      </c>
      <c r="AS58">
        <v>13</v>
      </c>
      <c r="AT58">
        <v>26</v>
      </c>
      <c r="AU58">
        <v>21</v>
      </c>
      <c r="AV58">
        <v>29</v>
      </c>
      <c r="AW58">
        <v>1</v>
      </c>
      <c r="AX58">
        <v>11</v>
      </c>
      <c r="AY58">
        <v>1</v>
      </c>
      <c r="AZ58">
        <v>14</v>
      </c>
      <c r="BA58">
        <v>34</v>
      </c>
      <c r="BB58">
        <v>31</v>
      </c>
      <c r="BC58">
        <v>18</v>
      </c>
      <c r="BD58">
        <v>15</v>
      </c>
      <c r="BE58">
        <v>6</v>
      </c>
      <c r="BF58">
        <v>59838</v>
      </c>
      <c r="BG58">
        <v>4475</v>
      </c>
    </row>
    <row r="59" spans="1:59" x14ac:dyDescent="0.3">
      <c r="A59" s="3">
        <v>45349</v>
      </c>
      <c r="B59" t="s">
        <v>61</v>
      </c>
      <c r="C59">
        <v>2</v>
      </c>
      <c r="D59">
        <v>643</v>
      </c>
      <c r="E59">
        <v>639</v>
      </c>
      <c r="F59">
        <v>20</v>
      </c>
      <c r="G59">
        <v>10</v>
      </c>
      <c r="H59">
        <v>22</v>
      </c>
      <c r="I59">
        <v>20</v>
      </c>
      <c r="J59">
        <v>45</v>
      </c>
      <c r="K59">
        <v>30</v>
      </c>
      <c r="L59">
        <v>46</v>
      </c>
      <c r="M59">
        <v>3</v>
      </c>
      <c r="N59">
        <v>15</v>
      </c>
      <c r="O59">
        <v>26</v>
      </c>
      <c r="P59">
        <v>29</v>
      </c>
      <c r="Q59">
        <v>27</v>
      </c>
      <c r="R59">
        <v>43</v>
      </c>
      <c r="S59">
        <v>10</v>
      </c>
      <c r="T59">
        <v>43</v>
      </c>
      <c r="U59">
        <v>24</v>
      </c>
      <c r="V59">
        <v>12</v>
      </c>
      <c r="W59">
        <v>35</v>
      </c>
      <c r="X59">
        <v>15</v>
      </c>
      <c r="Y59">
        <v>22</v>
      </c>
      <c r="Z59">
        <v>13</v>
      </c>
      <c r="AA59">
        <v>38</v>
      </c>
      <c r="AB59">
        <v>28</v>
      </c>
      <c r="AC59">
        <v>15</v>
      </c>
      <c r="AD59">
        <v>4</v>
      </c>
      <c r="AE59">
        <v>18</v>
      </c>
      <c r="AF59">
        <v>2</v>
      </c>
      <c r="AG59">
        <v>15</v>
      </c>
      <c r="AH59">
        <v>30</v>
      </c>
      <c r="AI59">
        <v>49</v>
      </c>
      <c r="AJ59">
        <v>15</v>
      </c>
      <c r="AK59">
        <v>5</v>
      </c>
      <c r="AL59">
        <v>13</v>
      </c>
      <c r="AM59">
        <v>11</v>
      </c>
      <c r="AN59">
        <v>14</v>
      </c>
      <c r="AO59">
        <v>1</v>
      </c>
      <c r="AP59">
        <v>1</v>
      </c>
      <c r="AQ59">
        <v>44</v>
      </c>
      <c r="AR59">
        <v>39</v>
      </c>
      <c r="AS59">
        <v>47</v>
      </c>
      <c r="AT59">
        <v>20</v>
      </c>
      <c r="AU59">
        <v>24</v>
      </c>
      <c r="AV59">
        <v>28</v>
      </c>
      <c r="AW59">
        <v>17</v>
      </c>
      <c r="AX59">
        <v>3</v>
      </c>
      <c r="AY59">
        <v>7</v>
      </c>
      <c r="AZ59">
        <v>2</v>
      </c>
      <c r="BA59">
        <v>39</v>
      </c>
      <c r="BB59">
        <v>32</v>
      </c>
      <c r="BC59">
        <v>12</v>
      </c>
      <c r="BD59">
        <v>23</v>
      </c>
      <c r="BE59">
        <v>24</v>
      </c>
      <c r="BF59">
        <v>60389</v>
      </c>
      <c r="BG59">
        <v>4487</v>
      </c>
    </row>
    <row r="60" spans="1:59" x14ac:dyDescent="0.3">
      <c r="A60" s="3">
        <v>45350</v>
      </c>
      <c r="B60" t="s">
        <v>61</v>
      </c>
      <c r="C60">
        <v>2</v>
      </c>
      <c r="D60">
        <v>645</v>
      </c>
      <c r="E60">
        <v>639</v>
      </c>
      <c r="F60">
        <v>18</v>
      </c>
      <c r="G60">
        <v>6</v>
      </c>
      <c r="H60">
        <v>47</v>
      </c>
      <c r="I60">
        <v>31</v>
      </c>
      <c r="J60">
        <v>0</v>
      </c>
      <c r="K60">
        <v>45</v>
      </c>
      <c r="L60">
        <v>35</v>
      </c>
      <c r="M60">
        <v>3</v>
      </c>
      <c r="N60">
        <v>8</v>
      </c>
      <c r="O60">
        <v>46</v>
      </c>
      <c r="P60">
        <v>23</v>
      </c>
      <c r="Q60">
        <v>19</v>
      </c>
      <c r="R60">
        <v>23</v>
      </c>
      <c r="S60">
        <v>17</v>
      </c>
      <c r="T60">
        <v>31</v>
      </c>
      <c r="U60">
        <v>18</v>
      </c>
      <c r="V60">
        <v>45</v>
      </c>
      <c r="W60">
        <v>45</v>
      </c>
      <c r="X60">
        <v>26</v>
      </c>
      <c r="Y60">
        <v>46</v>
      </c>
      <c r="Z60">
        <v>1</v>
      </c>
      <c r="AA60">
        <v>48</v>
      </c>
      <c r="AB60">
        <v>26</v>
      </c>
      <c r="AC60">
        <v>13</v>
      </c>
      <c r="AD60">
        <v>21</v>
      </c>
      <c r="AE60">
        <v>29</v>
      </c>
      <c r="AF60">
        <v>21</v>
      </c>
      <c r="AG60">
        <v>25</v>
      </c>
      <c r="AH60">
        <v>31</v>
      </c>
      <c r="AI60">
        <v>38</v>
      </c>
      <c r="AJ60">
        <v>25</v>
      </c>
      <c r="AK60">
        <v>44</v>
      </c>
      <c r="AL60">
        <v>11</v>
      </c>
      <c r="AM60">
        <v>11</v>
      </c>
      <c r="AN60">
        <v>4</v>
      </c>
      <c r="AO60">
        <v>15</v>
      </c>
      <c r="AP60">
        <v>36</v>
      </c>
      <c r="AQ60">
        <v>34</v>
      </c>
      <c r="AR60">
        <v>47</v>
      </c>
      <c r="AS60">
        <v>33</v>
      </c>
      <c r="AT60">
        <v>1</v>
      </c>
      <c r="AU60">
        <v>18</v>
      </c>
      <c r="AV60">
        <v>31</v>
      </c>
      <c r="AW60">
        <v>38</v>
      </c>
      <c r="AX60">
        <v>43</v>
      </c>
      <c r="AY60">
        <v>43</v>
      </c>
      <c r="AZ60">
        <v>47</v>
      </c>
      <c r="BA60">
        <v>31</v>
      </c>
      <c r="BB60">
        <v>16</v>
      </c>
      <c r="BC60">
        <v>38</v>
      </c>
      <c r="BD60">
        <v>43</v>
      </c>
      <c r="BE60">
        <v>29</v>
      </c>
      <c r="BF60">
        <v>60939</v>
      </c>
      <c r="BG60">
        <v>4499</v>
      </c>
    </row>
    <row r="61" spans="1:59" x14ac:dyDescent="0.3">
      <c r="A61" s="3">
        <v>45351</v>
      </c>
      <c r="B61" t="s">
        <v>61</v>
      </c>
      <c r="C61">
        <v>2</v>
      </c>
      <c r="D61">
        <v>646</v>
      </c>
      <c r="E61">
        <v>640</v>
      </c>
      <c r="F61">
        <v>45</v>
      </c>
      <c r="G61">
        <v>48</v>
      </c>
      <c r="H61">
        <v>22</v>
      </c>
      <c r="I61">
        <v>34</v>
      </c>
      <c r="J61">
        <v>10</v>
      </c>
      <c r="K61">
        <v>12</v>
      </c>
      <c r="L61">
        <v>3</v>
      </c>
      <c r="M61">
        <v>29</v>
      </c>
      <c r="N61">
        <v>49</v>
      </c>
      <c r="O61">
        <v>3</v>
      </c>
      <c r="P61">
        <v>9</v>
      </c>
      <c r="Q61">
        <v>16</v>
      </c>
      <c r="R61">
        <v>24</v>
      </c>
      <c r="S61">
        <v>1</v>
      </c>
      <c r="T61">
        <v>24</v>
      </c>
      <c r="U61">
        <v>7</v>
      </c>
      <c r="V61">
        <v>44</v>
      </c>
      <c r="W61">
        <v>39</v>
      </c>
      <c r="X61">
        <v>22</v>
      </c>
      <c r="Y61">
        <v>6</v>
      </c>
      <c r="Z61">
        <v>0</v>
      </c>
      <c r="AA61">
        <v>45</v>
      </c>
      <c r="AB61">
        <v>42</v>
      </c>
      <c r="AC61">
        <v>2</v>
      </c>
      <c r="AD61">
        <v>39</v>
      </c>
      <c r="AE61">
        <v>44</v>
      </c>
      <c r="AF61">
        <v>21</v>
      </c>
      <c r="AG61">
        <v>12</v>
      </c>
      <c r="AH61">
        <v>44</v>
      </c>
      <c r="AI61">
        <v>24</v>
      </c>
      <c r="AJ61">
        <v>14</v>
      </c>
      <c r="AK61">
        <v>8</v>
      </c>
      <c r="AL61">
        <v>36</v>
      </c>
      <c r="AM61">
        <v>11</v>
      </c>
      <c r="AN61">
        <v>29</v>
      </c>
      <c r="AO61">
        <v>26</v>
      </c>
      <c r="AP61">
        <v>23</v>
      </c>
      <c r="AQ61">
        <v>40</v>
      </c>
      <c r="AR61">
        <v>43</v>
      </c>
      <c r="AS61">
        <v>44</v>
      </c>
      <c r="AT61">
        <v>28</v>
      </c>
      <c r="AU61">
        <v>48</v>
      </c>
      <c r="AV61">
        <v>16</v>
      </c>
      <c r="AW61">
        <v>40</v>
      </c>
      <c r="AX61">
        <v>22</v>
      </c>
      <c r="AY61">
        <v>19</v>
      </c>
      <c r="AZ61">
        <v>26</v>
      </c>
      <c r="BA61">
        <v>26</v>
      </c>
      <c r="BB61">
        <v>6</v>
      </c>
      <c r="BC61">
        <v>49</v>
      </c>
      <c r="BD61">
        <v>10</v>
      </c>
      <c r="BE61">
        <v>28</v>
      </c>
      <c r="BF61">
        <v>61490</v>
      </c>
      <c r="BG61">
        <v>4511</v>
      </c>
    </row>
    <row r="62" spans="1:59" x14ac:dyDescent="0.3">
      <c r="A62" s="3">
        <v>45352</v>
      </c>
      <c r="B62" t="s">
        <v>62</v>
      </c>
      <c r="C62">
        <v>3</v>
      </c>
      <c r="D62">
        <v>648</v>
      </c>
      <c r="E62">
        <v>641</v>
      </c>
      <c r="F62">
        <v>38</v>
      </c>
      <c r="G62">
        <v>32</v>
      </c>
      <c r="H62">
        <v>3</v>
      </c>
      <c r="I62">
        <v>42</v>
      </c>
      <c r="J62">
        <v>34</v>
      </c>
      <c r="K62">
        <v>4</v>
      </c>
      <c r="L62">
        <v>19</v>
      </c>
      <c r="M62">
        <v>40</v>
      </c>
      <c r="N62">
        <v>40</v>
      </c>
      <c r="O62">
        <v>37</v>
      </c>
      <c r="P62">
        <v>33</v>
      </c>
      <c r="Q62">
        <v>25</v>
      </c>
      <c r="R62">
        <v>29</v>
      </c>
      <c r="S62">
        <v>0</v>
      </c>
      <c r="T62">
        <v>19</v>
      </c>
      <c r="U62">
        <v>8</v>
      </c>
      <c r="V62">
        <v>44</v>
      </c>
      <c r="W62">
        <v>30</v>
      </c>
      <c r="X62">
        <v>43</v>
      </c>
      <c r="Y62">
        <v>1</v>
      </c>
      <c r="Z62">
        <v>14</v>
      </c>
      <c r="AA62">
        <v>38</v>
      </c>
      <c r="AB62">
        <v>2</v>
      </c>
      <c r="AC62">
        <v>38</v>
      </c>
      <c r="AD62">
        <v>21</v>
      </c>
      <c r="AE62">
        <v>36</v>
      </c>
      <c r="AF62">
        <v>41</v>
      </c>
      <c r="AG62">
        <v>24</v>
      </c>
      <c r="AH62">
        <v>3</v>
      </c>
      <c r="AI62">
        <v>13</v>
      </c>
      <c r="AJ62">
        <v>0</v>
      </c>
      <c r="AK62">
        <v>4</v>
      </c>
      <c r="AL62">
        <v>49</v>
      </c>
      <c r="AM62">
        <v>25</v>
      </c>
      <c r="AN62">
        <v>42</v>
      </c>
      <c r="AO62">
        <v>5</v>
      </c>
      <c r="AP62">
        <v>45</v>
      </c>
      <c r="AQ62">
        <v>19</v>
      </c>
      <c r="AR62">
        <v>3</v>
      </c>
      <c r="AS62">
        <v>37</v>
      </c>
      <c r="AT62">
        <v>38</v>
      </c>
      <c r="AU62">
        <v>34</v>
      </c>
      <c r="AV62">
        <v>49</v>
      </c>
      <c r="AW62">
        <v>11</v>
      </c>
      <c r="AX62">
        <v>16</v>
      </c>
      <c r="AY62">
        <v>2</v>
      </c>
      <c r="AZ62">
        <v>48</v>
      </c>
      <c r="BA62">
        <v>39</v>
      </c>
      <c r="BB62">
        <v>28</v>
      </c>
      <c r="BC62">
        <v>18</v>
      </c>
      <c r="BD62">
        <v>1</v>
      </c>
      <c r="BE62">
        <v>5</v>
      </c>
      <c r="BF62">
        <v>62041</v>
      </c>
      <c r="BG62">
        <v>4523</v>
      </c>
    </row>
    <row r="63" spans="1:59" x14ac:dyDescent="0.3">
      <c r="A63" s="3">
        <v>45353</v>
      </c>
      <c r="B63" t="s">
        <v>62</v>
      </c>
      <c r="C63">
        <v>3</v>
      </c>
      <c r="D63">
        <v>650</v>
      </c>
      <c r="E63">
        <v>641</v>
      </c>
      <c r="F63">
        <v>23</v>
      </c>
      <c r="G63">
        <v>17</v>
      </c>
      <c r="H63">
        <v>28</v>
      </c>
      <c r="I63">
        <v>4</v>
      </c>
      <c r="J63">
        <v>14</v>
      </c>
      <c r="K63">
        <v>49</v>
      </c>
      <c r="L63">
        <v>0</v>
      </c>
      <c r="M63">
        <v>26</v>
      </c>
      <c r="N63">
        <v>1</v>
      </c>
      <c r="O63">
        <v>45</v>
      </c>
      <c r="P63">
        <v>30</v>
      </c>
      <c r="Q63">
        <v>18</v>
      </c>
      <c r="R63">
        <v>23</v>
      </c>
      <c r="S63">
        <v>33</v>
      </c>
      <c r="T63">
        <v>1</v>
      </c>
      <c r="U63">
        <v>37</v>
      </c>
      <c r="V63">
        <v>42</v>
      </c>
      <c r="W63">
        <v>4</v>
      </c>
      <c r="X63">
        <v>23</v>
      </c>
      <c r="Y63">
        <v>38</v>
      </c>
      <c r="Z63">
        <v>40</v>
      </c>
      <c r="AA63">
        <v>21</v>
      </c>
      <c r="AB63">
        <v>39</v>
      </c>
      <c r="AC63">
        <v>3</v>
      </c>
      <c r="AD63">
        <v>46</v>
      </c>
      <c r="AE63">
        <v>48</v>
      </c>
      <c r="AF63">
        <v>23</v>
      </c>
      <c r="AG63">
        <v>27</v>
      </c>
      <c r="AH63">
        <v>34</v>
      </c>
      <c r="AI63">
        <v>26</v>
      </c>
      <c r="AJ63">
        <v>11</v>
      </c>
      <c r="AK63">
        <v>41</v>
      </c>
      <c r="AL63">
        <v>47</v>
      </c>
      <c r="AM63">
        <v>42</v>
      </c>
      <c r="AN63">
        <v>35</v>
      </c>
      <c r="AO63">
        <v>34</v>
      </c>
      <c r="AP63">
        <v>44</v>
      </c>
      <c r="AQ63">
        <v>33</v>
      </c>
      <c r="AR63">
        <v>36</v>
      </c>
      <c r="AS63">
        <v>49</v>
      </c>
      <c r="AT63">
        <v>43</v>
      </c>
      <c r="AU63">
        <v>44</v>
      </c>
      <c r="AV63">
        <v>9</v>
      </c>
      <c r="AW63">
        <v>15</v>
      </c>
      <c r="AX63">
        <v>41</v>
      </c>
      <c r="AY63">
        <v>29</v>
      </c>
      <c r="AZ63">
        <v>41</v>
      </c>
      <c r="BA63">
        <v>12</v>
      </c>
      <c r="BB63">
        <v>41</v>
      </c>
      <c r="BC63">
        <v>30</v>
      </c>
      <c r="BD63">
        <v>44</v>
      </c>
      <c r="BE63">
        <v>5</v>
      </c>
      <c r="BF63">
        <v>62591</v>
      </c>
      <c r="BG63">
        <v>4535</v>
      </c>
    </row>
    <row r="64" spans="1:59" x14ac:dyDescent="0.3">
      <c r="A64" s="3">
        <v>45354</v>
      </c>
      <c r="B64" t="s">
        <v>62</v>
      </c>
      <c r="C64">
        <v>3</v>
      </c>
      <c r="D64">
        <v>651</v>
      </c>
      <c r="E64">
        <v>642</v>
      </c>
      <c r="F64">
        <v>8</v>
      </c>
      <c r="G64">
        <v>33</v>
      </c>
      <c r="H64">
        <v>49</v>
      </c>
      <c r="I64">
        <v>36</v>
      </c>
      <c r="J64">
        <v>33</v>
      </c>
      <c r="K64">
        <v>29</v>
      </c>
      <c r="L64">
        <v>43</v>
      </c>
      <c r="M64">
        <v>6</v>
      </c>
      <c r="N64">
        <v>46</v>
      </c>
      <c r="O64">
        <v>23</v>
      </c>
      <c r="P64">
        <v>0</v>
      </c>
      <c r="Q64">
        <v>12</v>
      </c>
      <c r="R64">
        <v>45</v>
      </c>
      <c r="S64">
        <v>14</v>
      </c>
      <c r="T64">
        <v>33</v>
      </c>
      <c r="U64">
        <v>1</v>
      </c>
      <c r="V64">
        <v>38</v>
      </c>
      <c r="W64">
        <v>48</v>
      </c>
      <c r="X64">
        <v>10</v>
      </c>
      <c r="Y64">
        <v>4</v>
      </c>
      <c r="Z64">
        <v>44</v>
      </c>
      <c r="AA64">
        <v>15</v>
      </c>
      <c r="AB64">
        <v>45</v>
      </c>
      <c r="AC64">
        <v>45</v>
      </c>
      <c r="AD64">
        <v>24</v>
      </c>
      <c r="AE64">
        <v>20</v>
      </c>
      <c r="AF64">
        <v>36</v>
      </c>
      <c r="AG64">
        <v>27</v>
      </c>
      <c r="AH64">
        <v>9</v>
      </c>
      <c r="AI64">
        <v>22</v>
      </c>
      <c r="AJ64">
        <v>8</v>
      </c>
      <c r="AK64">
        <v>41</v>
      </c>
      <c r="AL64">
        <v>11</v>
      </c>
      <c r="AM64">
        <v>36</v>
      </c>
      <c r="AN64">
        <v>15</v>
      </c>
      <c r="AO64">
        <v>47</v>
      </c>
      <c r="AP64">
        <v>37</v>
      </c>
      <c r="AQ64">
        <v>37</v>
      </c>
      <c r="AR64">
        <v>25</v>
      </c>
      <c r="AS64">
        <v>48</v>
      </c>
      <c r="AT64">
        <v>48</v>
      </c>
      <c r="AU64">
        <v>45</v>
      </c>
      <c r="AV64">
        <v>0</v>
      </c>
      <c r="AW64">
        <v>48</v>
      </c>
      <c r="AX64">
        <v>40</v>
      </c>
      <c r="AY64">
        <v>32</v>
      </c>
      <c r="AZ64">
        <v>36</v>
      </c>
      <c r="BA64">
        <v>36</v>
      </c>
      <c r="BB64">
        <v>28</v>
      </c>
      <c r="BC64">
        <v>32</v>
      </c>
      <c r="BD64">
        <v>18</v>
      </c>
      <c r="BE64">
        <v>7</v>
      </c>
      <c r="BF64">
        <v>63142</v>
      </c>
      <c r="BG64">
        <v>4547</v>
      </c>
    </row>
    <row r="65" spans="1:59" x14ac:dyDescent="0.3">
      <c r="A65" s="3">
        <v>45355</v>
      </c>
      <c r="B65" t="s">
        <v>62</v>
      </c>
      <c r="C65">
        <v>3</v>
      </c>
      <c r="D65">
        <v>653</v>
      </c>
      <c r="E65">
        <v>643</v>
      </c>
      <c r="F65">
        <v>8</v>
      </c>
      <c r="G65">
        <v>1</v>
      </c>
      <c r="H65">
        <v>8</v>
      </c>
      <c r="I65">
        <v>35</v>
      </c>
      <c r="J65">
        <v>48</v>
      </c>
      <c r="K65">
        <v>44</v>
      </c>
      <c r="L65">
        <v>9</v>
      </c>
      <c r="M65">
        <v>15</v>
      </c>
      <c r="N65">
        <v>34</v>
      </c>
      <c r="O65">
        <v>7</v>
      </c>
      <c r="P65">
        <v>21</v>
      </c>
      <c r="Q65">
        <v>48</v>
      </c>
      <c r="R65">
        <v>23</v>
      </c>
      <c r="S65">
        <v>24</v>
      </c>
      <c r="T65">
        <v>42</v>
      </c>
      <c r="U65">
        <v>12</v>
      </c>
      <c r="V65">
        <v>2</v>
      </c>
      <c r="W65">
        <v>35</v>
      </c>
      <c r="X65">
        <v>46</v>
      </c>
      <c r="Y65">
        <v>36</v>
      </c>
      <c r="Z65">
        <v>19</v>
      </c>
      <c r="AA65">
        <v>11</v>
      </c>
      <c r="AB65">
        <v>29</v>
      </c>
      <c r="AC65">
        <v>24</v>
      </c>
      <c r="AD65">
        <v>9</v>
      </c>
      <c r="AE65">
        <v>24</v>
      </c>
      <c r="AF65">
        <v>27</v>
      </c>
      <c r="AG65">
        <v>33</v>
      </c>
      <c r="AH65">
        <v>30</v>
      </c>
      <c r="AI65">
        <v>12</v>
      </c>
      <c r="AJ65">
        <v>17</v>
      </c>
      <c r="AK65">
        <v>18</v>
      </c>
      <c r="AL65">
        <v>38</v>
      </c>
      <c r="AM65">
        <v>17</v>
      </c>
      <c r="AN65">
        <v>24</v>
      </c>
      <c r="AO65">
        <v>24</v>
      </c>
      <c r="AP65">
        <v>5</v>
      </c>
      <c r="AQ65">
        <v>30</v>
      </c>
      <c r="AR65">
        <v>47</v>
      </c>
      <c r="AS65">
        <v>4</v>
      </c>
      <c r="AT65">
        <v>28</v>
      </c>
      <c r="AU65">
        <v>45</v>
      </c>
      <c r="AV65">
        <v>10</v>
      </c>
      <c r="AW65">
        <v>12</v>
      </c>
      <c r="AX65">
        <v>48</v>
      </c>
      <c r="AY65">
        <v>48</v>
      </c>
      <c r="AZ65">
        <v>32</v>
      </c>
      <c r="BA65">
        <v>14</v>
      </c>
      <c r="BB65">
        <v>38</v>
      </c>
      <c r="BC65">
        <v>40</v>
      </c>
      <c r="BD65">
        <v>13</v>
      </c>
      <c r="BE65">
        <v>16</v>
      </c>
      <c r="BF65">
        <v>63693</v>
      </c>
      <c r="BG65">
        <v>4559</v>
      </c>
    </row>
    <row r="66" spans="1:59" x14ac:dyDescent="0.3">
      <c r="A66" s="3">
        <v>45356</v>
      </c>
      <c r="B66" t="s">
        <v>62</v>
      </c>
      <c r="C66">
        <v>3</v>
      </c>
      <c r="D66">
        <v>655</v>
      </c>
      <c r="E66">
        <v>643</v>
      </c>
      <c r="F66">
        <v>14</v>
      </c>
      <c r="G66">
        <v>28</v>
      </c>
      <c r="H66">
        <v>18</v>
      </c>
      <c r="I66">
        <v>1</v>
      </c>
      <c r="J66">
        <v>1</v>
      </c>
      <c r="K66">
        <v>5</v>
      </c>
      <c r="L66">
        <v>49</v>
      </c>
      <c r="M66">
        <v>32</v>
      </c>
      <c r="N66">
        <v>13</v>
      </c>
      <c r="O66">
        <v>1</v>
      </c>
      <c r="P66">
        <v>36</v>
      </c>
      <c r="Q66">
        <v>1</v>
      </c>
      <c r="R66">
        <v>27</v>
      </c>
      <c r="S66">
        <v>23</v>
      </c>
      <c r="T66">
        <v>40</v>
      </c>
      <c r="U66">
        <v>2</v>
      </c>
      <c r="V66">
        <v>36</v>
      </c>
      <c r="W66">
        <v>15</v>
      </c>
      <c r="X66">
        <v>25</v>
      </c>
      <c r="Y66">
        <v>47</v>
      </c>
      <c r="Z66">
        <v>33</v>
      </c>
      <c r="AA66">
        <v>21</v>
      </c>
      <c r="AB66">
        <v>44</v>
      </c>
      <c r="AC66">
        <v>13</v>
      </c>
      <c r="AD66">
        <v>37</v>
      </c>
      <c r="AE66">
        <v>20</v>
      </c>
      <c r="AF66">
        <v>10</v>
      </c>
      <c r="AG66">
        <v>38</v>
      </c>
      <c r="AH66">
        <v>38</v>
      </c>
      <c r="AI66">
        <v>14</v>
      </c>
      <c r="AJ66">
        <v>1</v>
      </c>
      <c r="AK66">
        <v>2</v>
      </c>
      <c r="AL66">
        <v>25</v>
      </c>
      <c r="AM66">
        <v>43</v>
      </c>
      <c r="AN66">
        <v>5</v>
      </c>
      <c r="AO66">
        <v>13</v>
      </c>
      <c r="AP66">
        <v>9</v>
      </c>
      <c r="AQ66">
        <v>2</v>
      </c>
      <c r="AR66">
        <v>18</v>
      </c>
      <c r="AS66">
        <v>37</v>
      </c>
      <c r="AT66">
        <v>45</v>
      </c>
      <c r="AU66">
        <v>27</v>
      </c>
      <c r="AV66">
        <v>12</v>
      </c>
      <c r="AW66">
        <v>8</v>
      </c>
      <c r="AX66">
        <v>13</v>
      </c>
      <c r="AY66">
        <v>44</v>
      </c>
      <c r="AZ66">
        <v>11</v>
      </c>
      <c r="BA66">
        <v>25</v>
      </c>
      <c r="BB66">
        <v>0</v>
      </c>
      <c r="BC66">
        <v>5</v>
      </c>
      <c r="BD66">
        <v>4</v>
      </c>
      <c r="BE66">
        <v>45</v>
      </c>
      <c r="BF66">
        <v>64243</v>
      </c>
      <c r="BG66">
        <v>4571</v>
      </c>
    </row>
    <row r="67" spans="1:59" x14ac:dyDescent="0.3">
      <c r="A67" s="3">
        <v>45357</v>
      </c>
      <c r="B67" t="s">
        <v>62</v>
      </c>
      <c r="C67">
        <v>3</v>
      </c>
      <c r="D67">
        <v>656</v>
      </c>
      <c r="E67">
        <v>644</v>
      </c>
      <c r="F67">
        <v>32</v>
      </c>
      <c r="G67">
        <v>30</v>
      </c>
      <c r="H67">
        <v>26</v>
      </c>
      <c r="I67">
        <v>5</v>
      </c>
      <c r="J67">
        <v>47</v>
      </c>
      <c r="K67">
        <v>20</v>
      </c>
      <c r="L67">
        <v>48</v>
      </c>
      <c r="M67">
        <v>45</v>
      </c>
      <c r="N67">
        <v>49</v>
      </c>
      <c r="O67">
        <v>43</v>
      </c>
      <c r="P67">
        <v>31</v>
      </c>
      <c r="Q67">
        <v>44</v>
      </c>
      <c r="R67">
        <v>45</v>
      </c>
      <c r="S67">
        <v>10</v>
      </c>
      <c r="T67">
        <v>2</v>
      </c>
      <c r="U67">
        <v>38</v>
      </c>
      <c r="V67">
        <v>8</v>
      </c>
      <c r="W67">
        <v>11</v>
      </c>
      <c r="X67">
        <v>6</v>
      </c>
      <c r="Y67">
        <v>16</v>
      </c>
      <c r="Z67">
        <v>39</v>
      </c>
      <c r="AA67">
        <v>43</v>
      </c>
      <c r="AB67">
        <v>32</v>
      </c>
      <c r="AC67">
        <v>45</v>
      </c>
      <c r="AD67">
        <v>36</v>
      </c>
      <c r="AE67">
        <v>2</v>
      </c>
      <c r="AF67">
        <v>26</v>
      </c>
      <c r="AG67">
        <v>30</v>
      </c>
      <c r="AH67">
        <v>17</v>
      </c>
      <c r="AI67">
        <v>28</v>
      </c>
      <c r="AJ67">
        <v>8</v>
      </c>
      <c r="AK67">
        <v>13</v>
      </c>
      <c r="AL67">
        <v>38</v>
      </c>
      <c r="AM67">
        <v>33</v>
      </c>
      <c r="AN67">
        <v>30</v>
      </c>
      <c r="AO67">
        <v>18</v>
      </c>
      <c r="AP67">
        <v>5</v>
      </c>
      <c r="AQ67">
        <v>42</v>
      </c>
      <c r="AR67">
        <v>20</v>
      </c>
      <c r="AS67">
        <v>32</v>
      </c>
      <c r="AT67">
        <v>8</v>
      </c>
      <c r="AU67">
        <v>34</v>
      </c>
      <c r="AV67">
        <v>0</v>
      </c>
      <c r="AW67">
        <v>17</v>
      </c>
      <c r="AX67">
        <v>11</v>
      </c>
      <c r="AY67">
        <v>1</v>
      </c>
      <c r="AZ67">
        <v>46</v>
      </c>
      <c r="BA67">
        <v>30</v>
      </c>
      <c r="BB67">
        <v>4</v>
      </c>
      <c r="BC67">
        <v>9</v>
      </c>
      <c r="BD67">
        <v>25</v>
      </c>
      <c r="BE67">
        <v>36</v>
      </c>
      <c r="BF67">
        <v>64794</v>
      </c>
      <c r="BG67">
        <v>4583</v>
      </c>
    </row>
    <row r="68" spans="1:59" x14ac:dyDescent="0.3">
      <c r="A68" s="3">
        <v>45358</v>
      </c>
      <c r="B68" t="s">
        <v>62</v>
      </c>
      <c r="C68">
        <v>3</v>
      </c>
      <c r="D68">
        <v>658</v>
      </c>
      <c r="E68">
        <v>645</v>
      </c>
      <c r="F68">
        <v>37</v>
      </c>
      <c r="G68">
        <v>33</v>
      </c>
      <c r="H68">
        <v>34</v>
      </c>
      <c r="I68">
        <v>10</v>
      </c>
      <c r="J68">
        <v>48</v>
      </c>
      <c r="K68">
        <v>30</v>
      </c>
      <c r="L68">
        <v>40</v>
      </c>
      <c r="M68">
        <v>40</v>
      </c>
      <c r="N68">
        <v>21</v>
      </c>
      <c r="O68">
        <v>35</v>
      </c>
      <c r="P68">
        <v>30</v>
      </c>
      <c r="Q68">
        <v>40</v>
      </c>
      <c r="R68">
        <v>16</v>
      </c>
      <c r="S68">
        <v>44</v>
      </c>
      <c r="T68">
        <v>24</v>
      </c>
      <c r="U68">
        <v>44</v>
      </c>
      <c r="V68">
        <v>21</v>
      </c>
      <c r="W68">
        <v>21</v>
      </c>
      <c r="X68">
        <v>27</v>
      </c>
      <c r="Y68">
        <v>32</v>
      </c>
      <c r="Z68">
        <v>37</v>
      </c>
      <c r="AA68">
        <v>41</v>
      </c>
      <c r="AB68">
        <v>40</v>
      </c>
      <c r="AC68">
        <v>29</v>
      </c>
      <c r="AD68">
        <v>3</v>
      </c>
      <c r="AE68">
        <v>30</v>
      </c>
      <c r="AF68">
        <v>23</v>
      </c>
      <c r="AG68">
        <v>17</v>
      </c>
      <c r="AH68">
        <v>41</v>
      </c>
      <c r="AI68">
        <v>13</v>
      </c>
      <c r="AJ68">
        <v>22</v>
      </c>
      <c r="AK68">
        <v>13</v>
      </c>
      <c r="AL68">
        <v>36</v>
      </c>
      <c r="AM68">
        <v>29</v>
      </c>
      <c r="AN68">
        <v>13</v>
      </c>
      <c r="AO68">
        <v>15</v>
      </c>
      <c r="AP68">
        <v>32</v>
      </c>
      <c r="AQ68">
        <v>46</v>
      </c>
      <c r="AR68">
        <v>14</v>
      </c>
      <c r="AS68">
        <v>48</v>
      </c>
      <c r="AT68">
        <v>32</v>
      </c>
      <c r="AU68">
        <v>11</v>
      </c>
      <c r="AV68">
        <v>17</v>
      </c>
      <c r="AW68">
        <v>20</v>
      </c>
      <c r="AX68">
        <v>26</v>
      </c>
      <c r="AY68">
        <v>49</v>
      </c>
      <c r="AZ68">
        <v>29</v>
      </c>
      <c r="BA68">
        <v>29</v>
      </c>
      <c r="BB68">
        <v>11</v>
      </c>
      <c r="BC68">
        <v>19</v>
      </c>
      <c r="BD68">
        <v>4</v>
      </c>
      <c r="BE68">
        <v>49</v>
      </c>
      <c r="BF68">
        <v>65345</v>
      </c>
      <c r="BG68">
        <v>4595</v>
      </c>
    </row>
    <row r="69" spans="1:59" x14ac:dyDescent="0.3">
      <c r="A69" s="3">
        <v>45359</v>
      </c>
      <c r="B69" t="s">
        <v>62</v>
      </c>
      <c r="C69">
        <v>3</v>
      </c>
      <c r="D69">
        <v>660</v>
      </c>
      <c r="E69">
        <v>645</v>
      </c>
      <c r="F69">
        <v>43</v>
      </c>
      <c r="G69">
        <v>0</v>
      </c>
      <c r="H69">
        <v>14</v>
      </c>
      <c r="I69">
        <v>0</v>
      </c>
      <c r="J69">
        <v>23</v>
      </c>
      <c r="K69">
        <v>43</v>
      </c>
      <c r="L69">
        <v>17</v>
      </c>
      <c r="M69">
        <v>42</v>
      </c>
      <c r="N69">
        <v>4</v>
      </c>
      <c r="O69">
        <v>18</v>
      </c>
      <c r="P69">
        <v>42</v>
      </c>
      <c r="Q69">
        <v>17</v>
      </c>
      <c r="R69">
        <v>34</v>
      </c>
      <c r="S69">
        <v>2</v>
      </c>
      <c r="T69">
        <v>27</v>
      </c>
      <c r="U69">
        <v>19</v>
      </c>
      <c r="V69">
        <v>45</v>
      </c>
      <c r="W69">
        <v>42</v>
      </c>
      <c r="X69">
        <v>13</v>
      </c>
      <c r="Y69">
        <v>41</v>
      </c>
      <c r="Z69">
        <v>29</v>
      </c>
      <c r="AA69">
        <v>25</v>
      </c>
      <c r="AB69">
        <v>46</v>
      </c>
      <c r="AC69">
        <v>25</v>
      </c>
      <c r="AD69">
        <v>33</v>
      </c>
      <c r="AE69">
        <v>20</v>
      </c>
      <c r="AF69">
        <v>4</v>
      </c>
      <c r="AG69">
        <v>46</v>
      </c>
      <c r="AH69">
        <v>34</v>
      </c>
      <c r="AI69">
        <v>5</v>
      </c>
      <c r="AJ69">
        <v>2</v>
      </c>
      <c r="AK69">
        <v>9</v>
      </c>
      <c r="AL69">
        <v>3</v>
      </c>
      <c r="AM69">
        <v>32</v>
      </c>
      <c r="AN69">
        <v>11</v>
      </c>
      <c r="AO69">
        <v>41</v>
      </c>
      <c r="AP69">
        <v>28</v>
      </c>
      <c r="AQ69">
        <v>20</v>
      </c>
      <c r="AR69">
        <v>35</v>
      </c>
      <c r="AS69">
        <v>37</v>
      </c>
      <c r="AT69">
        <v>9</v>
      </c>
      <c r="AU69">
        <v>21</v>
      </c>
      <c r="AV69">
        <v>26</v>
      </c>
      <c r="AW69">
        <v>40</v>
      </c>
      <c r="AX69">
        <v>10</v>
      </c>
      <c r="AY69">
        <v>45</v>
      </c>
      <c r="AZ69">
        <v>7</v>
      </c>
      <c r="BA69">
        <v>44</v>
      </c>
      <c r="BB69">
        <v>34</v>
      </c>
      <c r="BC69">
        <v>8</v>
      </c>
      <c r="BD69">
        <v>22</v>
      </c>
      <c r="BE69">
        <v>37</v>
      </c>
      <c r="BF69">
        <v>65895</v>
      </c>
      <c r="BG69">
        <v>4607</v>
      </c>
    </row>
    <row r="70" spans="1:59" x14ac:dyDescent="0.3">
      <c r="A70" s="3">
        <v>45360</v>
      </c>
      <c r="B70" t="s">
        <v>62</v>
      </c>
      <c r="C70">
        <v>3</v>
      </c>
      <c r="D70">
        <v>661</v>
      </c>
      <c r="E70">
        <v>646</v>
      </c>
      <c r="F70">
        <v>11</v>
      </c>
      <c r="G70">
        <v>17</v>
      </c>
      <c r="H70">
        <v>8</v>
      </c>
      <c r="I70">
        <v>37</v>
      </c>
      <c r="J70">
        <v>6</v>
      </c>
      <c r="K70">
        <v>30</v>
      </c>
      <c r="L70">
        <v>28</v>
      </c>
      <c r="M70">
        <v>47</v>
      </c>
      <c r="N70">
        <v>24</v>
      </c>
      <c r="O70">
        <v>44</v>
      </c>
      <c r="P70">
        <v>47</v>
      </c>
      <c r="Q70">
        <v>4</v>
      </c>
      <c r="R70">
        <v>43</v>
      </c>
      <c r="S70">
        <v>47</v>
      </c>
      <c r="T70">
        <v>17</v>
      </c>
      <c r="U70">
        <v>42</v>
      </c>
      <c r="V70">
        <v>15</v>
      </c>
      <c r="W70">
        <v>47</v>
      </c>
      <c r="X70">
        <v>26</v>
      </c>
      <c r="Y70">
        <v>23</v>
      </c>
      <c r="Z70">
        <v>39</v>
      </c>
      <c r="AA70">
        <v>3</v>
      </c>
      <c r="AB70">
        <v>38</v>
      </c>
      <c r="AC70">
        <v>23</v>
      </c>
      <c r="AD70">
        <v>22</v>
      </c>
      <c r="AE70">
        <v>5</v>
      </c>
      <c r="AF70">
        <v>10</v>
      </c>
      <c r="AG70">
        <v>15</v>
      </c>
      <c r="AH70">
        <v>46</v>
      </c>
      <c r="AI70">
        <v>11</v>
      </c>
      <c r="AJ70">
        <v>24</v>
      </c>
      <c r="AK70">
        <v>0</v>
      </c>
      <c r="AL70">
        <v>11</v>
      </c>
      <c r="AM70">
        <v>37</v>
      </c>
      <c r="AN70">
        <v>25</v>
      </c>
      <c r="AO70">
        <v>18</v>
      </c>
      <c r="AP70">
        <v>15</v>
      </c>
      <c r="AQ70">
        <v>28</v>
      </c>
      <c r="AR70">
        <v>0</v>
      </c>
      <c r="AS70">
        <v>42</v>
      </c>
      <c r="AT70">
        <v>0</v>
      </c>
      <c r="AU70">
        <v>20</v>
      </c>
      <c r="AV70">
        <v>8</v>
      </c>
      <c r="AW70">
        <v>32</v>
      </c>
      <c r="AX70">
        <v>14</v>
      </c>
      <c r="AY70">
        <v>19</v>
      </c>
      <c r="AZ70">
        <v>38</v>
      </c>
      <c r="BA70">
        <v>22</v>
      </c>
      <c r="BB70">
        <v>49</v>
      </c>
      <c r="BC70">
        <v>43</v>
      </c>
      <c r="BD70">
        <v>43</v>
      </c>
      <c r="BE70">
        <v>18</v>
      </c>
      <c r="BF70">
        <v>66446</v>
      </c>
      <c r="BG70">
        <v>4619</v>
      </c>
    </row>
    <row r="71" spans="1:59" x14ac:dyDescent="0.3">
      <c r="A71" s="3">
        <v>45361</v>
      </c>
      <c r="B71" t="s">
        <v>62</v>
      </c>
      <c r="C71">
        <v>3</v>
      </c>
      <c r="D71">
        <v>663</v>
      </c>
      <c r="E71">
        <v>647</v>
      </c>
      <c r="F71">
        <v>32</v>
      </c>
      <c r="G71">
        <v>9</v>
      </c>
      <c r="H71">
        <v>27</v>
      </c>
      <c r="I71">
        <v>41</v>
      </c>
      <c r="J71">
        <v>28</v>
      </c>
      <c r="K71">
        <v>46</v>
      </c>
      <c r="L71">
        <v>27</v>
      </c>
      <c r="M71">
        <v>0</v>
      </c>
      <c r="N71">
        <v>4</v>
      </c>
      <c r="O71">
        <v>13</v>
      </c>
      <c r="P71">
        <v>47</v>
      </c>
      <c r="Q71">
        <v>49</v>
      </c>
      <c r="R71">
        <v>14</v>
      </c>
      <c r="S71">
        <v>24</v>
      </c>
      <c r="T71">
        <v>33</v>
      </c>
      <c r="U71">
        <v>24</v>
      </c>
      <c r="V71">
        <v>1</v>
      </c>
      <c r="W71">
        <v>6</v>
      </c>
      <c r="X71">
        <v>8</v>
      </c>
      <c r="Y71">
        <v>40</v>
      </c>
      <c r="Z71">
        <v>4</v>
      </c>
      <c r="AA71">
        <v>41</v>
      </c>
      <c r="AB71">
        <v>15</v>
      </c>
      <c r="AC71">
        <v>33</v>
      </c>
      <c r="AD71">
        <v>39</v>
      </c>
      <c r="AE71">
        <v>12</v>
      </c>
      <c r="AF71">
        <v>8</v>
      </c>
      <c r="AG71">
        <v>4</v>
      </c>
      <c r="AH71">
        <v>48</v>
      </c>
      <c r="AI71">
        <v>45</v>
      </c>
      <c r="AJ71">
        <v>24</v>
      </c>
      <c r="AK71">
        <v>13</v>
      </c>
      <c r="AL71">
        <v>36</v>
      </c>
      <c r="AM71">
        <v>8</v>
      </c>
      <c r="AN71">
        <v>23</v>
      </c>
      <c r="AO71">
        <v>32</v>
      </c>
      <c r="AP71">
        <v>5</v>
      </c>
      <c r="AQ71">
        <v>21</v>
      </c>
      <c r="AR71">
        <v>11</v>
      </c>
      <c r="AS71">
        <v>29</v>
      </c>
      <c r="AT71">
        <v>2</v>
      </c>
      <c r="AU71">
        <v>28</v>
      </c>
      <c r="AV71">
        <v>38</v>
      </c>
      <c r="AW71">
        <v>43</v>
      </c>
      <c r="AX71">
        <v>22</v>
      </c>
      <c r="AY71">
        <v>44</v>
      </c>
      <c r="AZ71">
        <v>34</v>
      </c>
      <c r="BA71">
        <v>8</v>
      </c>
      <c r="BB71">
        <v>34</v>
      </c>
      <c r="BC71">
        <v>38</v>
      </c>
      <c r="BD71">
        <v>17</v>
      </c>
      <c r="BE71">
        <v>39</v>
      </c>
      <c r="BF71">
        <v>66997</v>
      </c>
      <c r="BG71">
        <v>4631</v>
      </c>
    </row>
    <row r="72" spans="1:59" x14ac:dyDescent="0.3">
      <c r="A72" s="3">
        <v>45362</v>
      </c>
      <c r="B72" t="s">
        <v>62</v>
      </c>
      <c r="C72">
        <v>3</v>
      </c>
      <c r="D72">
        <v>665</v>
      </c>
      <c r="E72">
        <v>647</v>
      </c>
      <c r="F72">
        <v>33</v>
      </c>
      <c r="G72">
        <v>5</v>
      </c>
      <c r="H72">
        <v>28</v>
      </c>
      <c r="I72">
        <v>6</v>
      </c>
      <c r="J72">
        <v>22</v>
      </c>
      <c r="K72">
        <v>39</v>
      </c>
      <c r="L72">
        <v>49</v>
      </c>
      <c r="M72">
        <v>8</v>
      </c>
      <c r="N72">
        <v>45</v>
      </c>
      <c r="O72">
        <v>38</v>
      </c>
      <c r="P72">
        <v>21</v>
      </c>
      <c r="Q72">
        <v>34</v>
      </c>
      <c r="R72">
        <v>43</v>
      </c>
      <c r="S72">
        <v>36</v>
      </c>
      <c r="T72">
        <v>16</v>
      </c>
      <c r="U72">
        <v>38</v>
      </c>
      <c r="V72">
        <v>44</v>
      </c>
      <c r="W72">
        <v>21</v>
      </c>
      <c r="X72">
        <v>1</v>
      </c>
      <c r="Y72">
        <v>36</v>
      </c>
      <c r="Z72">
        <v>45</v>
      </c>
      <c r="AA72">
        <v>49</v>
      </c>
      <c r="AB72">
        <v>25</v>
      </c>
      <c r="AC72">
        <v>25</v>
      </c>
      <c r="AD72">
        <v>6</v>
      </c>
      <c r="AE72">
        <v>17</v>
      </c>
      <c r="AF72">
        <v>16</v>
      </c>
      <c r="AG72">
        <v>41</v>
      </c>
      <c r="AH72">
        <v>23</v>
      </c>
      <c r="AI72">
        <v>16</v>
      </c>
      <c r="AJ72">
        <v>26</v>
      </c>
      <c r="AK72">
        <v>44</v>
      </c>
      <c r="AL72">
        <v>21</v>
      </c>
      <c r="AM72">
        <v>10</v>
      </c>
      <c r="AN72">
        <v>15</v>
      </c>
      <c r="AO72">
        <v>45</v>
      </c>
      <c r="AP72">
        <v>44</v>
      </c>
      <c r="AQ72">
        <v>34</v>
      </c>
      <c r="AR72">
        <v>14</v>
      </c>
      <c r="AS72">
        <v>38</v>
      </c>
      <c r="AT72">
        <v>25</v>
      </c>
      <c r="AU72">
        <v>48</v>
      </c>
      <c r="AV72">
        <v>8</v>
      </c>
      <c r="AW72">
        <v>46</v>
      </c>
      <c r="AX72">
        <v>19</v>
      </c>
      <c r="AY72">
        <v>20</v>
      </c>
      <c r="AZ72">
        <v>44</v>
      </c>
      <c r="BA72">
        <v>27</v>
      </c>
      <c r="BB72">
        <v>31</v>
      </c>
      <c r="BC72">
        <v>4</v>
      </c>
      <c r="BD72">
        <v>7</v>
      </c>
      <c r="BE72">
        <v>22</v>
      </c>
      <c r="BF72">
        <v>67547</v>
      </c>
      <c r="BG72">
        <v>4643</v>
      </c>
    </row>
    <row r="73" spans="1:59" x14ac:dyDescent="0.3">
      <c r="A73" s="3">
        <v>45363</v>
      </c>
      <c r="B73" t="s">
        <v>62</v>
      </c>
      <c r="C73">
        <v>3</v>
      </c>
      <c r="D73">
        <v>666</v>
      </c>
      <c r="E73">
        <v>648</v>
      </c>
      <c r="F73">
        <v>8</v>
      </c>
      <c r="G73">
        <v>19</v>
      </c>
      <c r="H73">
        <v>20</v>
      </c>
      <c r="I73">
        <v>17</v>
      </c>
      <c r="J73">
        <v>24</v>
      </c>
      <c r="K73">
        <v>35</v>
      </c>
      <c r="L73">
        <v>44</v>
      </c>
      <c r="M73">
        <v>42</v>
      </c>
      <c r="N73">
        <v>41</v>
      </c>
      <c r="O73">
        <v>21</v>
      </c>
      <c r="P73">
        <v>43</v>
      </c>
      <c r="Q73">
        <v>14</v>
      </c>
      <c r="R73">
        <v>21</v>
      </c>
      <c r="S73">
        <v>25</v>
      </c>
      <c r="T73">
        <v>47</v>
      </c>
      <c r="U73">
        <v>34</v>
      </c>
      <c r="V73">
        <v>18</v>
      </c>
      <c r="W73">
        <v>32</v>
      </c>
      <c r="X73">
        <v>22</v>
      </c>
      <c r="Y73">
        <v>17</v>
      </c>
      <c r="Z73">
        <v>45</v>
      </c>
      <c r="AA73">
        <v>13</v>
      </c>
      <c r="AB73">
        <v>26</v>
      </c>
      <c r="AC73">
        <v>15</v>
      </c>
      <c r="AD73">
        <v>29</v>
      </c>
      <c r="AE73">
        <v>42</v>
      </c>
      <c r="AF73">
        <v>42</v>
      </c>
      <c r="AG73">
        <v>18</v>
      </c>
      <c r="AH73">
        <v>42</v>
      </c>
      <c r="AI73">
        <v>17</v>
      </c>
      <c r="AJ73">
        <v>37</v>
      </c>
      <c r="AK73">
        <v>40</v>
      </c>
      <c r="AL73">
        <v>40</v>
      </c>
      <c r="AM73">
        <v>8</v>
      </c>
      <c r="AN73">
        <v>35</v>
      </c>
      <c r="AO73">
        <v>29</v>
      </c>
      <c r="AP73">
        <v>10</v>
      </c>
      <c r="AQ73">
        <v>25</v>
      </c>
      <c r="AR73">
        <v>14</v>
      </c>
      <c r="AS73">
        <v>31</v>
      </c>
      <c r="AT73">
        <v>1</v>
      </c>
      <c r="AU73">
        <v>4</v>
      </c>
      <c r="AV73">
        <v>21</v>
      </c>
      <c r="AW73">
        <v>48</v>
      </c>
      <c r="AX73">
        <v>15</v>
      </c>
      <c r="AY73">
        <v>24</v>
      </c>
      <c r="AZ73">
        <v>16</v>
      </c>
      <c r="BA73">
        <v>12</v>
      </c>
      <c r="BB73">
        <v>34</v>
      </c>
      <c r="BC73">
        <v>7</v>
      </c>
      <c r="BD73">
        <v>36</v>
      </c>
      <c r="BE73">
        <v>36</v>
      </c>
      <c r="BF73">
        <v>68098</v>
      </c>
      <c r="BG73">
        <v>4655</v>
      </c>
    </row>
    <row r="74" spans="1:59" x14ac:dyDescent="0.3">
      <c r="A74" s="3">
        <v>45364</v>
      </c>
      <c r="B74" t="s">
        <v>62</v>
      </c>
      <c r="C74">
        <v>3</v>
      </c>
      <c r="D74">
        <v>668</v>
      </c>
      <c r="E74">
        <v>649</v>
      </c>
      <c r="F74">
        <v>37</v>
      </c>
      <c r="G74">
        <v>40</v>
      </c>
      <c r="H74">
        <v>35</v>
      </c>
      <c r="I74">
        <v>41</v>
      </c>
      <c r="J74">
        <v>19</v>
      </c>
      <c r="K74">
        <v>4</v>
      </c>
      <c r="L74">
        <v>35</v>
      </c>
      <c r="M74">
        <v>35</v>
      </c>
      <c r="N74">
        <v>7</v>
      </c>
      <c r="O74">
        <v>14</v>
      </c>
      <c r="P74">
        <v>7</v>
      </c>
      <c r="Q74">
        <v>26</v>
      </c>
      <c r="R74">
        <v>3</v>
      </c>
      <c r="S74">
        <v>46</v>
      </c>
      <c r="T74">
        <v>9</v>
      </c>
      <c r="U74">
        <v>36</v>
      </c>
      <c r="V74">
        <v>35</v>
      </c>
      <c r="W74">
        <v>29</v>
      </c>
      <c r="X74">
        <v>49</v>
      </c>
      <c r="Y74">
        <v>22</v>
      </c>
      <c r="Z74">
        <v>23</v>
      </c>
      <c r="AA74">
        <v>30</v>
      </c>
      <c r="AB74">
        <v>48</v>
      </c>
      <c r="AC74">
        <v>33</v>
      </c>
      <c r="AD74">
        <v>21</v>
      </c>
      <c r="AE74">
        <v>4</v>
      </c>
      <c r="AF74">
        <v>17</v>
      </c>
      <c r="AG74">
        <v>30</v>
      </c>
      <c r="AH74">
        <v>24</v>
      </c>
      <c r="AI74">
        <v>18</v>
      </c>
      <c r="AJ74">
        <v>35</v>
      </c>
      <c r="AK74">
        <v>15</v>
      </c>
      <c r="AL74">
        <v>40</v>
      </c>
      <c r="AM74">
        <v>18</v>
      </c>
      <c r="AN74">
        <v>11</v>
      </c>
      <c r="AO74">
        <v>26</v>
      </c>
      <c r="AP74">
        <v>23</v>
      </c>
      <c r="AQ74">
        <v>1</v>
      </c>
      <c r="AR74">
        <v>49</v>
      </c>
      <c r="AS74">
        <v>39</v>
      </c>
      <c r="AT74">
        <v>7</v>
      </c>
      <c r="AU74">
        <v>30</v>
      </c>
      <c r="AV74">
        <v>7</v>
      </c>
      <c r="AW74">
        <v>30</v>
      </c>
      <c r="AX74">
        <v>44</v>
      </c>
      <c r="AY74">
        <v>30</v>
      </c>
      <c r="AZ74">
        <v>34</v>
      </c>
      <c r="BA74">
        <v>27</v>
      </c>
      <c r="BB74">
        <v>10</v>
      </c>
      <c r="BC74">
        <v>8</v>
      </c>
      <c r="BD74">
        <v>34</v>
      </c>
      <c r="BE74">
        <v>22</v>
      </c>
      <c r="BF74">
        <v>68649</v>
      </c>
      <c r="BG74">
        <v>4667</v>
      </c>
    </row>
    <row r="75" spans="1:59" x14ac:dyDescent="0.3">
      <c r="A75" s="3">
        <v>45365</v>
      </c>
      <c r="B75" t="s">
        <v>62</v>
      </c>
      <c r="C75">
        <v>3</v>
      </c>
      <c r="D75">
        <v>670</v>
      </c>
      <c r="E75">
        <v>650</v>
      </c>
      <c r="F75">
        <v>30</v>
      </c>
      <c r="G75">
        <v>23</v>
      </c>
      <c r="H75">
        <v>46</v>
      </c>
      <c r="I75">
        <v>13</v>
      </c>
      <c r="J75">
        <v>39</v>
      </c>
      <c r="K75">
        <v>45</v>
      </c>
      <c r="L75">
        <v>0</v>
      </c>
      <c r="M75">
        <v>28</v>
      </c>
      <c r="N75">
        <v>45</v>
      </c>
      <c r="O75">
        <v>1</v>
      </c>
      <c r="P75">
        <v>18</v>
      </c>
      <c r="Q75">
        <v>8</v>
      </c>
      <c r="R75">
        <v>43</v>
      </c>
      <c r="S75">
        <v>37</v>
      </c>
      <c r="T75">
        <v>7</v>
      </c>
      <c r="U75">
        <v>1</v>
      </c>
      <c r="V75">
        <v>45</v>
      </c>
      <c r="W75">
        <v>13</v>
      </c>
      <c r="X75">
        <v>13</v>
      </c>
      <c r="Y75">
        <v>4</v>
      </c>
      <c r="Z75">
        <v>47</v>
      </c>
      <c r="AA75">
        <v>2</v>
      </c>
      <c r="AB75">
        <v>38</v>
      </c>
      <c r="AC75">
        <v>43</v>
      </c>
      <c r="AD75">
        <v>43</v>
      </c>
      <c r="AE75">
        <v>9</v>
      </c>
      <c r="AF75">
        <v>44</v>
      </c>
      <c r="AG75">
        <v>18</v>
      </c>
      <c r="AH75">
        <v>18</v>
      </c>
      <c r="AI75">
        <v>47</v>
      </c>
      <c r="AJ75">
        <v>26</v>
      </c>
      <c r="AK75">
        <v>21</v>
      </c>
      <c r="AL75">
        <v>34</v>
      </c>
      <c r="AM75">
        <v>41</v>
      </c>
      <c r="AN75">
        <v>28</v>
      </c>
      <c r="AO75">
        <v>5</v>
      </c>
      <c r="AP75">
        <v>23</v>
      </c>
      <c r="AQ75">
        <v>43</v>
      </c>
      <c r="AR75">
        <v>8</v>
      </c>
      <c r="AS75">
        <v>1</v>
      </c>
      <c r="AT75">
        <v>38</v>
      </c>
      <c r="AU75">
        <v>4</v>
      </c>
      <c r="AV75">
        <v>49</v>
      </c>
      <c r="AW75">
        <v>46</v>
      </c>
      <c r="AX75">
        <v>8</v>
      </c>
      <c r="AY75">
        <v>48</v>
      </c>
      <c r="AZ75">
        <v>5</v>
      </c>
      <c r="BA75">
        <v>34</v>
      </c>
      <c r="BB75">
        <v>14</v>
      </c>
      <c r="BC75">
        <v>13</v>
      </c>
      <c r="BD75">
        <v>1</v>
      </c>
      <c r="BE75">
        <v>43</v>
      </c>
      <c r="BF75">
        <v>69200</v>
      </c>
      <c r="BG75">
        <v>4680</v>
      </c>
    </row>
    <row r="76" spans="1:59" x14ac:dyDescent="0.3">
      <c r="A76" s="3">
        <v>45366</v>
      </c>
      <c r="B76" t="s">
        <v>62</v>
      </c>
      <c r="C76">
        <v>3</v>
      </c>
      <c r="D76">
        <v>671</v>
      </c>
      <c r="E76">
        <v>650</v>
      </c>
      <c r="F76">
        <v>40</v>
      </c>
      <c r="G76">
        <v>26</v>
      </c>
      <c r="H76">
        <v>35</v>
      </c>
      <c r="I76">
        <v>33</v>
      </c>
      <c r="J76">
        <v>24</v>
      </c>
      <c r="K76">
        <v>48</v>
      </c>
      <c r="L76">
        <v>9</v>
      </c>
      <c r="M76">
        <v>8</v>
      </c>
      <c r="N76">
        <v>36</v>
      </c>
      <c r="O76">
        <v>22</v>
      </c>
      <c r="P76">
        <v>32</v>
      </c>
      <c r="Q76">
        <v>19</v>
      </c>
      <c r="R76">
        <v>49</v>
      </c>
      <c r="S76">
        <v>2</v>
      </c>
      <c r="T76">
        <v>22</v>
      </c>
      <c r="U76">
        <v>37</v>
      </c>
      <c r="V76">
        <v>40</v>
      </c>
      <c r="W76">
        <v>1</v>
      </c>
      <c r="X76">
        <v>1</v>
      </c>
      <c r="Y76">
        <v>10</v>
      </c>
      <c r="Z76">
        <v>7</v>
      </c>
      <c r="AA76">
        <v>45</v>
      </c>
      <c r="AB76">
        <v>41</v>
      </c>
      <c r="AC76">
        <v>34</v>
      </c>
      <c r="AD76">
        <v>22</v>
      </c>
      <c r="AE76">
        <v>3</v>
      </c>
      <c r="AF76">
        <v>35</v>
      </c>
      <c r="AG76">
        <v>24</v>
      </c>
      <c r="AH76">
        <v>30</v>
      </c>
      <c r="AI76">
        <v>40</v>
      </c>
      <c r="AJ76">
        <v>8</v>
      </c>
      <c r="AK76">
        <v>0</v>
      </c>
      <c r="AL76">
        <v>47</v>
      </c>
      <c r="AM76">
        <v>19</v>
      </c>
      <c r="AN76">
        <v>31</v>
      </c>
      <c r="AO76">
        <v>12</v>
      </c>
      <c r="AP76">
        <v>9</v>
      </c>
      <c r="AQ76">
        <v>25</v>
      </c>
      <c r="AR76">
        <v>5</v>
      </c>
      <c r="AS76">
        <v>30</v>
      </c>
      <c r="AT76">
        <v>37</v>
      </c>
      <c r="AU76">
        <v>9</v>
      </c>
      <c r="AV76">
        <v>31</v>
      </c>
      <c r="AW76">
        <v>3</v>
      </c>
      <c r="AX76">
        <v>33</v>
      </c>
      <c r="AY76">
        <v>17</v>
      </c>
      <c r="AZ76">
        <v>18</v>
      </c>
      <c r="BA76">
        <v>10</v>
      </c>
      <c r="BB76">
        <v>0</v>
      </c>
      <c r="BC76">
        <v>39</v>
      </c>
      <c r="BD76">
        <v>18</v>
      </c>
      <c r="BE76">
        <v>33</v>
      </c>
      <c r="BF76">
        <v>69750</v>
      </c>
      <c r="BG76">
        <v>4692</v>
      </c>
    </row>
    <row r="77" spans="1:59" x14ac:dyDescent="0.3">
      <c r="A77" s="3">
        <v>45367</v>
      </c>
      <c r="B77" t="s">
        <v>62</v>
      </c>
      <c r="C77">
        <v>3</v>
      </c>
      <c r="D77">
        <v>673</v>
      </c>
      <c r="E77">
        <v>651</v>
      </c>
      <c r="F77">
        <v>10</v>
      </c>
      <c r="G77">
        <v>34</v>
      </c>
      <c r="H77">
        <v>48</v>
      </c>
      <c r="I77">
        <v>48</v>
      </c>
      <c r="J77">
        <v>23</v>
      </c>
      <c r="K77">
        <v>0</v>
      </c>
      <c r="L77">
        <v>47</v>
      </c>
      <c r="M77">
        <v>41</v>
      </c>
      <c r="N77">
        <v>30</v>
      </c>
      <c r="O77">
        <v>42</v>
      </c>
      <c r="P77">
        <v>5</v>
      </c>
      <c r="Q77">
        <v>41</v>
      </c>
      <c r="R77">
        <v>8</v>
      </c>
      <c r="S77">
        <v>36</v>
      </c>
      <c r="T77">
        <v>5</v>
      </c>
      <c r="U77">
        <v>25</v>
      </c>
      <c r="V77">
        <v>9</v>
      </c>
      <c r="W77">
        <v>43</v>
      </c>
      <c r="X77">
        <v>28</v>
      </c>
      <c r="Y77">
        <v>10</v>
      </c>
      <c r="Z77">
        <v>1</v>
      </c>
      <c r="AA77">
        <v>28</v>
      </c>
      <c r="AB77">
        <v>0</v>
      </c>
      <c r="AC77">
        <v>22</v>
      </c>
      <c r="AD77">
        <v>35</v>
      </c>
      <c r="AE77">
        <v>14</v>
      </c>
      <c r="AF77">
        <v>41</v>
      </c>
      <c r="AG77">
        <v>42</v>
      </c>
      <c r="AH77">
        <v>2</v>
      </c>
      <c r="AI77">
        <v>24</v>
      </c>
      <c r="AJ77">
        <v>5</v>
      </c>
      <c r="AK77">
        <v>1</v>
      </c>
      <c r="AL77">
        <v>19</v>
      </c>
      <c r="AM77">
        <v>6</v>
      </c>
      <c r="AN77">
        <v>37</v>
      </c>
      <c r="AO77">
        <v>37</v>
      </c>
      <c r="AP77">
        <v>5</v>
      </c>
      <c r="AQ77">
        <v>45</v>
      </c>
      <c r="AR77">
        <v>34</v>
      </c>
      <c r="AS77">
        <v>34</v>
      </c>
      <c r="AT77">
        <v>17</v>
      </c>
      <c r="AU77">
        <v>13</v>
      </c>
      <c r="AV77">
        <v>2</v>
      </c>
      <c r="AW77">
        <v>16</v>
      </c>
      <c r="AX77">
        <v>9</v>
      </c>
      <c r="AY77">
        <v>18</v>
      </c>
      <c r="AZ77">
        <v>6</v>
      </c>
      <c r="BA77">
        <v>23</v>
      </c>
      <c r="BB77">
        <v>21</v>
      </c>
      <c r="BC77">
        <v>37</v>
      </c>
      <c r="BD77">
        <v>30</v>
      </c>
      <c r="BE77">
        <v>10</v>
      </c>
      <c r="BF77">
        <v>70301</v>
      </c>
      <c r="BG77">
        <v>4704</v>
      </c>
    </row>
    <row r="78" spans="1:59" x14ac:dyDescent="0.3">
      <c r="A78" s="3">
        <v>45368</v>
      </c>
      <c r="B78" t="s">
        <v>62</v>
      </c>
      <c r="C78">
        <v>3</v>
      </c>
      <c r="D78">
        <v>674</v>
      </c>
      <c r="E78">
        <v>652</v>
      </c>
      <c r="F78">
        <v>1</v>
      </c>
      <c r="G78">
        <v>15</v>
      </c>
      <c r="H78">
        <v>11</v>
      </c>
      <c r="I78">
        <v>8</v>
      </c>
      <c r="J78">
        <v>8</v>
      </c>
      <c r="K78">
        <v>14</v>
      </c>
      <c r="L78">
        <v>35</v>
      </c>
      <c r="M78">
        <v>22</v>
      </c>
      <c r="N78">
        <v>14</v>
      </c>
      <c r="O78">
        <v>25</v>
      </c>
      <c r="P78">
        <v>8</v>
      </c>
      <c r="Q78">
        <v>14</v>
      </c>
      <c r="R78">
        <v>21</v>
      </c>
      <c r="S78">
        <v>27</v>
      </c>
      <c r="T78">
        <v>35</v>
      </c>
      <c r="U78">
        <v>27</v>
      </c>
      <c r="V78">
        <v>28</v>
      </c>
      <c r="W78">
        <v>42</v>
      </c>
      <c r="X78">
        <v>9</v>
      </c>
      <c r="Y78">
        <v>48</v>
      </c>
      <c r="Z78">
        <v>0</v>
      </c>
      <c r="AA78">
        <v>40</v>
      </c>
      <c r="AB78">
        <v>39</v>
      </c>
      <c r="AC78">
        <v>34</v>
      </c>
      <c r="AD78">
        <v>49</v>
      </c>
      <c r="AE78">
        <v>39</v>
      </c>
      <c r="AF78">
        <v>8</v>
      </c>
      <c r="AG78">
        <v>39</v>
      </c>
      <c r="AH78">
        <v>47</v>
      </c>
      <c r="AI78">
        <v>43</v>
      </c>
      <c r="AJ78">
        <v>47</v>
      </c>
      <c r="AK78">
        <v>2</v>
      </c>
      <c r="AL78">
        <v>19</v>
      </c>
      <c r="AM78">
        <v>49</v>
      </c>
      <c r="AN78">
        <v>28</v>
      </c>
      <c r="AO78">
        <v>40</v>
      </c>
      <c r="AP78">
        <v>30</v>
      </c>
      <c r="AQ78">
        <v>3</v>
      </c>
      <c r="AR78">
        <v>8</v>
      </c>
      <c r="AS78">
        <v>45</v>
      </c>
      <c r="AT78">
        <v>27</v>
      </c>
      <c r="AU78">
        <v>43</v>
      </c>
      <c r="AV78">
        <v>29</v>
      </c>
      <c r="AW78">
        <v>45</v>
      </c>
      <c r="AX78">
        <v>40</v>
      </c>
      <c r="AY78">
        <v>23</v>
      </c>
      <c r="AZ78">
        <v>37</v>
      </c>
      <c r="BA78">
        <v>13</v>
      </c>
      <c r="BB78">
        <v>4</v>
      </c>
      <c r="BC78">
        <v>33</v>
      </c>
      <c r="BD78">
        <v>47</v>
      </c>
      <c r="BE78">
        <v>34</v>
      </c>
      <c r="BF78">
        <v>70852</v>
      </c>
      <c r="BG78">
        <v>4716</v>
      </c>
    </row>
    <row r="79" spans="1:59" x14ac:dyDescent="0.3">
      <c r="A79" s="3">
        <v>45369</v>
      </c>
      <c r="B79" t="s">
        <v>62</v>
      </c>
      <c r="C79">
        <v>3</v>
      </c>
      <c r="D79">
        <v>676</v>
      </c>
      <c r="E79">
        <v>652</v>
      </c>
      <c r="F79">
        <v>23</v>
      </c>
      <c r="G79">
        <v>30</v>
      </c>
      <c r="H79">
        <v>48</v>
      </c>
      <c r="I79">
        <v>19</v>
      </c>
      <c r="J79">
        <v>37</v>
      </c>
      <c r="K79">
        <v>2</v>
      </c>
      <c r="L79">
        <v>16</v>
      </c>
      <c r="M79">
        <v>3</v>
      </c>
      <c r="N79">
        <v>9</v>
      </c>
      <c r="O79">
        <v>30</v>
      </c>
      <c r="P79">
        <v>34</v>
      </c>
      <c r="Q79">
        <v>16</v>
      </c>
      <c r="R79">
        <v>45</v>
      </c>
      <c r="S79">
        <v>29</v>
      </c>
      <c r="T79">
        <v>39</v>
      </c>
      <c r="U79">
        <v>44</v>
      </c>
      <c r="V79">
        <v>25</v>
      </c>
      <c r="W79">
        <v>1</v>
      </c>
      <c r="X79">
        <v>45</v>
      </c>
      <c r="Y79">
        <v>44</v>
      </c>
      <c r="Z79">
        <v>32</v>
      </c>
      <c r="AA79">
        <v>45</v>
      </c>
      <c r="AB79">
        <v>27</v>
      </c>
      <c r="AC79">
        <v>2</v>
      </c>
      <c r="AD79">
        <v>46</v>
      </c>
      <c r="AE79">
        <v>5</v>
      </c>
      <c r="AF79">
        <v>14</v>
      </c>
      <c r="AG79">
        <v>4</v>
      </c>
      <c r="AH79">
        <v>3</v>
      </c>
      <c r="AI79">
        <v>18</v>
      </c>
      <c r="AJ79">
        <v>34</v>
      </c>
      <c r="AK79">
        <v>31</v>
      </c>
      <c r="AL79">
        <v>13</v>
      </c>
      <c r="AM79">
        <v>49</v>
      </c>
      <c r="AN79">
        <v>36</v>
      </c>
      <c r="AO79">
        <v>30</v>
      </c>
      <c r="AP79">
        <v>24</v>
      </c>
      <c r="AQ79">
        <v>5</v>
      </c>
      <c r="AR79">
        <v>47</v>
      </c>
      <c r="AS79">
        <v>39</v>
      </c>
      <c r="AT79">
        <v>2</v>
      </c>
      <c r="AU79">
        <v>26</v>
      </c>
      <c r="AV79">
        <v>2</v>
      </c>
      <c r="AW79">
        <v>24</v>
      </c>
      <c r="AX79">
        <v>19</v>
      </c>
      <c r="AY79">
        <v>28</v>
      </c>
      <c r="AZ79">
        <v>16</v>
      </c>
      <c r="BA79">
        <v>18</v>
      </c>
      <c r="BB79">
        <v>22</v>
      </c>
      <c r="BC79">
        <v>14</v>
      </c>
      <c r="BD79">
        <v>19</v>
      </c>
      <c r="BE79">
        <v>6</v>
      </c>
      <c r="BF79">
        <v>71402</v>
      </c>
      <c r="BG79">
        <v>4728</v>
      </c>
    </row>
    <row r="80" spans="1:59" x14ac:dyDescent="0.3">
      <c r="A80" s="3">
        <v>45370</v>
      </c>
      <c r="B80" t="s">
        <v>62</v>
      </c>
      <c r="C80">
        <v>3</v>
      </c>
      <c r="D80">
        <v>678</v>
      </c>
      <c r="E80">
        <v>653</v>
      </c>
      <c r="F80">
        <v>41</v>
      </c>
      <c r="G80">
        <v>24</v>
      </c>
      <c r="H80">
        <v>4</v>
      </c>
      <c r="I80">
        <v>49</v>
      </c>
      <c r="J80">
        <v>38</v>
      </c>
      <c r="K80">
        <v>22</v>
      </c>
      <c r="L80">
        <v>25</v>
      </c>
      <c r="M80">
        <v>40</v>
      </c>
      <c r="N80">
        <v>23</v>
      </c>
      <c r="O80">
        <v>30</v>
      </c>
      <c r="P80">
        <v>5</v>
      </c>
      <c r="Q80">
        <v>47</v>
      </c>
      <c r="R80">
        <v>8</v>
      </c>
      <c r="S80">
        <v>13</v>
      </c>
      <c r="T80">
        <v>14</v>
      </c>
      <c r="U80">
        <v>32</v>
      </c>
      <c r="V80">
        <v>44</v>
      </c>
      <c r="W80">
        <v>3</v>
      </c>
      <c r="X80">
        <v>15</v>
      </c>
      <c r="Y80">
        <v>15</v>
      </c>
      <c r="Z80">
        <v>21</v>
      </c>
      <c r="AA80">
        <v>46</v>
      </c>
      <c r="AB80">
        <v>48</v>
      </c>
      <c r="AC80">
        <v>36</v>
      </c>
      <c r="AD80">
        <v>2</v>
      </c>
      <c r="AE80">
        <v>16</v>
      </c>
      <c r="AF80">
        <v>22</v>
      </c>
      <c r="AG80">
        <v>17</v>
      </c>
      <c r="AH80">
        <v>41</v>
      </c>
      <c r="AI80">
        <v>32</v>
      </c>
      <c r="AJ80">
        <v>25</v>
      </c>
      <c r="AK80">
        <v>17</v>
      </c>
      <c r="AL80">
        <v>41</v>
      </c>
      <c r="AM80">
        <v>26</v>
      </c>
      <c r="AN80">
        <v>5</v>
      </c>
      <c r="AO80">
        <v>2</v>
      </c>
      <c r="AP80">
        <v>27</v>
      </c>
      <c r="AQ80">
        <v>19</v>
      </c>
      <c r="AR80">
        <v>15</v>
      </c>
      <c r="AS80">
        <v>36</v>
      </c>
      <c r="AT80">
        <v>25</v>
      </c>
      <c r="AU80">
        <v>18</v>
      </c>
      <c r="AV80">
        <v>43</v>
      </c>
      <c r="AW80">
        <v>47</v>
      </c>
      <c r="AX80">
        <v>41</v>
      </c>
      <c r="AY80">
        <v>35</v>
      </c>
      <c r="AZ80">
        <v>41</v>
      </c>
      <c r="BA80">
        <v>39</v>
      </c>
      <c r="BB80">
        <v>33</v>
      </c>
      <c r="BC80">
        <v>0</v>
      </c>
      <c r="BD80">
        <v>21</v>
      </c>
      <c r="BE80">
        <v>18</v>
      </c>
      <c r="BF80">
        <v>71953</v>
      </c>
      <c r="BG80">
        <v>4740</v>
      </c>
    </row>
    <row r="81" spans="1:59" x14ac:dyDescent="0.3">
      <c r="A81" s="3">
        <v>45371</v>
      </c>
      <c r="B81" t="s">
        <v>62</v>
      </c>
      <c r="C81">
        <v>3</v>
      </c>
      <c r="D81">
        <v>679</v>
      </c>
      <c r="E81">
        <v>654</v>
      </c>
      <c r="F81">
        <v>13</v>
      </c>
      <c r="G81">
        <v>23</v>
      </c>
      <c r="H81">
        <v>39</v>
      </c>
      <c r="I81">
        <v>6</v>
      </c>
      <c r="J81">
        <v>8</v>
      </c>
      <c r="K81">
        <v>22</v>
      </c>
      <c r="L81">
        <v>27</v>
      </c>
      <c r="M81">
        <v>16</v>
      </c>
      <c r="N81">
        <v>22</v>
      </c>
      <c r="O81">
        <v>39</v>
      </c>
      <c r="P81">
        <v>4</v>
      </c>
      <c r="Q81">
        <v>37</v>
      </c>
      <c r="R81">
        <v>28</v>
      </c>
      <c r="S81">
        <v>9</v>
      </c>
      <c r="T81">
        <v>48</v>
      </c>
      <c r="U81">
        <v>19</v>
      </c>
      <c r="V81">
        <v>47</v>
      </c>
      <c r="W81">
        <v>0</v>
      </c>
      <c r="X81">
        <v>49</v>
      </c>
      <c r="Y81">
        <v>18</v>
      </c>
      <c r="Z81">
        <v>19</v>
      </c>
      <c r="AA81">
        <v>37</v>
      </c>
      <c r="AB81">
        <v>0</v>
      </c>
      <c r="AC81">
        <v>23</v>
      </c>
      <c r="AD81">
        <v>21</v>
      </c>
      <c r="AE81">
        <v>2</v>
      </c>
      <c r="AF81">
        <v>0</v>
      </c>
      <c r="AG81">
        <v>27</v>
      </c>
      <c r="AH81">
        <v>37</v>
      </c>
      <c r="AI81">
        <v>26</v>
      </c>
      <c r="AJ81">
        <v>33</v>
      </c>
      <c r="AK81">
        <v>33</v>
      </c>
      <c r="AL81">
        <v>23</v>
      </c>
      <c r="AM81">
        <v>1</v>
      </c>
      <c r="AN81">
        <v>11</v>
      </c>
      <c r="AO81">
        <v>49</v>
      </c>
      <c r="AP81">
        <v>46</v>
      </c>
      <c r="AQ81">
        <v>47</v>
      </c>
      <c r="AR81">
        <v>34</v>
      </c>
      <c r="AS81">
        <v>20</v>
      </c>
      <c r="AT81">
        <v>45</v>
      </c>
      <c r="AU81">
        <v>4</v>
      </c>
      <c r="AV81">
        <v>8</v>
      </c>
      <c r="AW81">
        <v>21</v>
      </c>
      <c r="AX81">
        <v>30</v>
      </c>
      <c r="AY81">
        <v>13</v>
      </c>
      <c r="AZ81">
        <v>33</v>
      </c>
      <c r="BA81">
        <v>15</v>
      </c>
      <c r="BB81">
        <v>46</v>
      </c>
      <c r="BC81">
        <v>12</v>
      </c>
      <c r="BD81">
        <v>23</v>
      </c>
      <c r="BE81">
        <v>13</v>
      </c>
      <c r="BF81">
        <v>72504</v>
      </c>
      <c r="BG81">
        <v>4752</v>
      </c>
    </row>
    <row r="82" spans="1:59" x14ac:dyDescent="0.3">
      <c r="A82" s="3">
        <v>45372</v>
      </c>
      <c r="B82" t="s">
        <v>62</v>
      </c>
      <c r="C82">
        <v>3</v>
      </c>
      <c r="D82">
        <v>681</v>
      </c>
      <c r="E82">
        <v>654</v>
      </c>
      <c r="F82">
        <v>33</v>
      </c>
      <c r="G82">
        <v>31</v>
      </c>
      <c r="H82">
        <v>12</v>
      </c>
      <c r="I82">
        <v>4</v>
      </c>
      <c r="J82">
        <v>42</v>
      </c>
      <c r="K82">
        <v>22</v>
      </c>
      <c r="L82">
        <v>2</v>
      </c>
      <c r="M82">
        <v>26</v>
      </c>
      <c r="N82">
        <v>26</v>
      </c>
      <c r="O82">
        <v>0</v>
      </c>
      <c r="P82">
        <v>20</v>
      </c>
      <c r="Q82">
        <v>11</v>
      </c>
      <c r="R82">
        <v>33</v>
      </c>
      <c r="S82">
        <v>11</v>
      </c>
      <c r="T82">
        <v>30</v>
      </c>
      <c r="U82">
        <v>20</v>
      </c>
      <c r="V82">
        <v>23</v>
      </c>
      <c r="W82">
        <v>38</v>
      </c>
      <c r="X82">
        <v>44</v>
      </c>
      <c r="Y82">
        <v>36</v>
      </c>
      <c r="Z82">
        <v>23</v>
      </c>
      <c r="AA82">
        <v>36</v>
      </c>
      <c r="AB82">
        <v>46</v>
      </c>
      <c r="AC82">
        <v>35</v>
      </c>
      <c r="AD82">
        <v>15</v>
      </c>
      <c r="AE82">
        <v>43</v>
      </c>
      <c r="AF82">
        <v>14</v>
      </c>
      <c r="AG82">
        <v>16</v>
      </c>
      <c r="AH82">
        <v>37</v>
      </c>
      <c r="AI82">
        <v>35</v>
      </c>
      <c r="AJ82">
        <v>20</v>
      </c>
      <c r="AK82">
        <v>46</v>
      </c>
      <c r="AL82">
        <v>34</v>
      </c>
      <c r="AM82">
        <v>7</v>
      </c>
      <c r="AN82">
        <v>16</v>
      </c>
      <c r="AO82">
        <v>44</v>
      </c>
      <c r="AP82">
        <v>15</v>
      </c>
      <c r="AQ82">
        <v>26</v>
      </c>
      <c r="AR82">
        <v>5</v>
      </c>
      <c r="AS82">
        <v>36</v>
      </c>
      <c r="AT82">
        <v>40</v>
      </c>
      <c r="AU82">
        <v>15</v>
      </c>
      <c r="AV82">
        <v>20</v>
      </c>
      <c r="AW82">
        <v>13</v>
      </c>
      <c r="AX82">
        <v>40</v>
      </c>
      <c r="AY82">
        <v>11</v>
      </c>
      <c r="AZ82">
        <v>24</v>
      </c>
      <c r="BA82">
        <v>17</v>
      </c>
      <c r="BB82">
        <v>49</v>
      </c>
      <c r="BC82">
        <v>0</v>
      </c>
      <c r="BD82">
        <v>44</v>
      </c>
      <c r="BE82">
        <v>4</v>
      </c>
      <c r="BF82">
        <v>73054</v>
      </c>
      <c r="BG82">
        <v>4764</v>
      </c>
    </row>
    <row r="83" spans="1:59" x14ac:dyDescent="0.3">
      <c r="A83" s="3">
        <v>45373</v>
      </c>
      <c r="B83" t="s">
        <v>62</v>
      </c>
      <c r="C83">
        <v>3</v>
      </c>
      <c r="D83">
        <v>683</v>
      </c>
      <c r="E83">
        <v>655</v>
      </c>
      <c r="F83">
        <v>28</v>
      </c>
      <c r="G83">
        <v>15</v>
      </c>
      <c r="H83">
        <v>39</v>
      </c>
      <c r="I83">
        <v>18</v>
      </c>
      <c r="J83">
        <v>34</v>
      </c>
      <c r="K83">
        <v>15</v>
      </c>
      <c r="L83">
        <v>39</v>
      </c>
      <c r="M83">
        <v>34</v>
      </c>
      <c r="N83">
        <v>2</v>
      </c>
      <c r="O83">
        <v>38</v>
      </c>
      <c r="P83">
        <v>35</v>
      </c>
      <c r="Q83">
        <v>2</v>
      </c>
      <c r="R83">
        <v>1</v>
      </c>
      <c r="S83">
        <v>8</v>
      </c>
      <c r="T83">
        <v>12</v>
      </c>
      <c r="U83">
        <v>5</v>
      </c>
      <c r="V83">
        <v>0</v>
      </c>
      <c r="W83">
        <v>26</v>
      </c>
      <c r="X83">
        <v>13</v>
      </c>
      <c r="Y83">
        <v>37</v>
      </c>
      <c r="Z83">
        <v>34</v>
      </c>
      <c r="AA83">
        <v>42</v>
      </c>
      <c r="AB83">
        <v>43</v>
      </c>
      <c r="AC83">
        <v>11</v>
      </c>
      <c r="AD83">
        <v>46</v>
      </c>
      <c r="AE83">
        <v>41</v>
      </c>
      <c r="AF83">
        <v>19</v>
      </c>
      <c r="AG83">
        <v>16</v>
      </c>
      <c r="AH83">
        <v>42</v>
      </c>
      <c r="AI83">
        <v>47</v>
      </c>
      <c r="AJ83">
        <v>9</v>
      </c>
      <c r="AK83">
        <v>13</v>
      </c>
      <c r="AL83">
        <v>45</v>
      </c>
      <c r="AM83">
        <v>23</v>
      </c>
      <c r="AN83">
        <v>38</v>
      </c>
      <c r="AO83">
        <v>11</v>
      </c>
      <c r="AP83">
        <v>32</v>
      </c>
      <c r="AQ83">
        <v>47</v>
      </c>
      <c r="AR83">
        <v>16</v>
      </c>
      <c r="AS83">
        <v>29</v>
      </c>
      <c r="AT83">
        <v>2</v>
      </c>
      <c r="AU83">
        <v>28</v>
      </c>
      <c r="AV83">
        <v>3</v>
      </c>
      <c r="AW83">
        <v>31</v>
      </c>
      <c r="AX83">
        <v>21</v>
      </c>
      <c r="AY83">
        <v>39</v>
      </c>
      <c r="AZ83">
        <v>15</v>
      </c>
      <c r="BA83">
        <v>13</v>
      </c>
      <c r="BB83">
        <v>26</v>
      </c>
      <c r="BC83">
        <v>23</v>
      </c>
      <c r="BD83">
        <v>24</v>
      </c>
      <c r="BE83">
        <v>33</v>
      </c>
      <c r="BF83">
        <v>73605</v>
      </c>
      <c r="BG83">
        <v>4776</v>
      </c>
    </row>
    <row r="84" spans="1:59" x14ac:dyDescent="0.3">
      <c r="A84" s="3">
        <v>45374</v>
      </c>
      <c r="B84" t="s">
        <v>62</v>
      </c>
      <c r="C84">
        <v>3</v>
      </c>
      <c r="D84">
        <v>684</v>
      </c>
      <c r="E84">
        <v>656</v>
      </c>
      <c r="F84">
        <v>41</v>
      </c>
      <c r="G84">
        <v>31</v>
      </c>
      <c r="H84">
        <v>39</v>
      </c>
      <c r="I84">
        <v>13</v>
      </c>
      <c r="J84">
        <v>32</v>
      </c>
      <c r="K84">
        <v>48</v>
      </c>
      <c r="L84">
        <v>33</v>
      </c>
      <c r="M84">
        <v>10</v>
      </c>
      <c r="N84">
        <v>30</v>
      </c>
      <c r="O84">
        <v>13</v>
      </c>
      <c r="P84">
        <v>49</v>
      </c>
      <c r="Q84">
        <v>33</v>
      </c>
      <c r="R84">
        <v>41</v>
      </c>
      <c r="S84">
        <v>10</v>
      </c>
      <c r="T84">
        <v>4</v>
      </c>
      <c r="U84">
        <v>18</v>
      </c>
      <c r="V84">
        <v>48</v>
      </c>
      <c r="W84">
        <v>4</v>
      </c>
      <c r="X84">
        <v>16</v>
      </c>
      <c r="Y84">
        <v>9</v>
      </c>
      <c r="Z84">
        <v>29</v>
      </c>
      <c r="AA84">
        <v>39</v>
      </c>
      <c r="AB84">
        <v>11</v>
      </c>
      <c r="AC84">
        <v>38</v>
      </c>
      <c r="AD84">
        <v>21</v>
      </c>
      <c r="AE84">
        <v>5</v>
      </c>
      <c r="AF84">
        <v>8</v>
      </c>
      <c r="AG84">
        <v>17</v>
      </c>
      <c r="AH84">
        <v>7</v>
      </c>
      <c r="AI84">
        <v>32</v>
      </c>
      <c r="AJ84">
        <v>37</v>
      </c>
      <c r="AK84">
        <v>24</v>
      </c>
      <c r="AL84">
        <v>2</v>
      </c>
      <c r="AM84">
        <v>0</v>
      </c>
      <c r="AN84">
        <v>37</v>
      </c>
      <c r="AO84">
        <v>31</v>
      </c>
      <c r="AP84">
        <v>32</v>
      </c>
      <c r="AQ84">
        <v>25</v>
      </c>
      <c r="AR84">
        <v>41</v>
      </c>
      <c r="AS84">
        <v>17</v>
      </c>
      <c r="AT84">
        <v>21</v>
      </c>
      <c r="AU84">
        <v>4</v>
      </c>
      <c r="AV84">
        <v>2</v>
      </c>
      <c r="AW84">
        <v>42</v>
      </c>
      <c r="AX84">
        <v>36</v>
      </c>
      <c r="AY84">
        <v>20</v>
      </c>
      <c r="AZ84">
        <v>8</v>
      </c>
      <c r="BA84">
        <v>36</v>
      </c>
      <c r="BB84">
        <v>0</v>
      </c>
      <c r="BC84">
        <v>42</v>
      </c>
      <c r="BD84">
        <v>23</v>
      </c>
      <c r="BE84">
        <v>44</v>
      </c>
      <c r="BF84">
        <v>74156</v>
      </c>
      <c r="BG84">
        <v>4788</v>
      </c>
    </row>
    <row r="85" spans="1:59" x14ac:dyDescent="0.3">
      <c r="A85" s="3">
        <v>45375</v>
      </c>
      <c r="B85" t="s">
        <v>62</v>
      </c>
      <c r="C85">
        <v>3</v>
      </c>
      <c r="D85">
        <v>686</v>
      </c>
      <c r="E85">
        <v>656</v>
      </c>
      <c r="F85">
        <v>14</v>
      </c>
      <c r="G85">
        <v>39</v>
      </c>
      <c r="H85">
        <v>30</v>
      </c>
      <c r="I85">
        <v>19</v>
      </c>
      <c r="J85">
        <v>8</v>
      </c>
      <c r="K85">
        <v>31</v>
      </c>
      <c r="L85">
        <v>43</v>
      </c>
      <c r="M85">
        <v>25</v>
      </c>
      <c r="N85">
        <v>0</v>
      </c>
      <c r="O85">
        <v>39</v>
      </c>
      <c r="P85">
        <v>26</v>
      </c>
      <c r="Q85">
        <v>23</v>
      </c>
      <c r="R85">
        <v>34</v>
      </c>
      <c r="S85">
        <v>20</v>
      </c>
      <c r="T85">
        <v>28</v>
      </c>
      <c r="U85">
        <v>16</v>
      </c>
      <c r="V85">
        <v>15</v>
      </c>
      <c r="W85">
        <v>0</v>
      </c>
      <c r="X85">
        <v>17</v>
      </c>
      <c r="Y85">
        <v>37</v>
      </c>
      <c r="Z85">
        <v>12</v>
      </c>
      <c r="AA85">
        <v>13</v>
      </c>
      <c r="AB85">
        <v>10</v>
      </c>
      <c r="AC85">
        <v>32</v>
      </c>
      <c r="AD85">
        <v>4</v>
      </c>
      <c r="AE85">
        <v>15</v>
      </c>
      <c r="AF85">
        <v>42</v>
      </c>
      <c r="AG85">
        <v>5</v>
      </c>
      <c r="AH85">
        <v>46</v>
      </c>
      <c r="AI85">
        <v>26</v>
      </c>
      <c r="AJ85">
        <v>11</v>
      </c>
      <c r="AK85">
        <v>22</v>
      </c>
      <c r="AL85">
        <v>12</v>
      </c>
      <c r="AM85">
        <v>11</v>
      </c>
      <c r="AN85">
        <v>31</v>
      </c>
      <c r="AO85">
        <v>49</v>
      </c>
      <c r="AP85">
        <v>24</v>
      </c>
      <c r="AQ85">
        <v>17</v>
      </c>
      <c r="AR85">
        <v>17</v>
      </c>
      <c r="AS85">
        <v>21</v>
      </c>
      <c r="AT85">
        <v>15</v>
      </c>
      <c r="AU85">
        <v>43</v>
      </c>
      <c r="AV85">
        <v>8</v>
      </c>
      <c r="AW85">
        <v>45</v>
      </c>
      <c r="AX85">
        <v>49</v>
      </c>
      <c r="AY85">
        <v>38</v>
      </c>
      <c r="AZ85">
        <v>29</v>
      </c>
      <c r="BA85">
        <v>22</v>
      </c>
      <c r="BB85">
        <v>24</v>
      </c>
      <c r="BC85">
        <v>3</v>
      </c>
      <c r="BD85">
        <v>24</v>
      </c>
      <c r="BE85">
        <v>21</v>
      </c>
      <c r="BF85">
        <v>74706</v>
      </c>
      <c r="BG85">
        <v>4800</v>
      </c>
    </row>
    <row r="86" spans="1:59" x14ac:dyDescent="0.3">
      <c r="A86" s="3">
        <v>45376</v>
      </c>
      <c r="B86" t="s">
        <v>62</v>
      </c>
      <c r="C86">
        <v>3</v>
      </c>
      <c r="D86">
        <v>688</v>
      </c>
      <c r="E86">
        <v>657</v>
      </c>
      <c r="F86">
        <v>11</v>
      </c>
      <c r="G86">
        <v>0</v>
      </c>
      <c r="H86">
        <v>43</v>
      </c>
      <c r="I86">
        <v>44</v>
      </c>
      <c r="J86">
        <v>23</v>
      </c>
      <c r="K86">
        <v>12</v>
      </c>
      <c r="L86">
        <v>4</v>
      </c>
      <c r="M86">
        <v>37</v>
      </c>
      <c r="N86">
        <v>8</v>
      </c>
      <c r="O86">
        <v>19</v>
      </c>
      <c r="P86">
        <v>48</v>
      </c>
      <c r="Q86">
        <v>28</v>
      </c>
      <c r="R86">
        <v>36</v>
      </c>
      <c r="S86">
        <v>31</v>
      </c>
      <c r="T86">
        <v>10</v>
      </c>
      <c r="U86">
        <v>23</v>
      </c>
      <c r="V86">
        <v>41</v>
      </c>
      <c r="W86">
        <v>2</v>
      </c>
      <c r="X86">
        <v>43</v>
      </c>
      <c r="Y86">
        <v>43</v>
      </c>
      <c r="Z86">
        <v>27</v>
      </c>
      <c r="AA86">
        <v>32</v>
      </c>
      <c r="AB86">
        <v>38</v>
      </c>
      <c r="AC86">
        <v>10</v>
      </c>
      <c r="AD86">
        <v>38</v>
      </c>
      <c r="AE86">
        <v>18</v>
      </c>
      <c r="AF86">
        <v>20</v>
      </c>
      <c r="AG86">
        <v>27</v>
      </c>
      <c r="AH86">
        <v>49</v>
      </c>
      <c r="AI86">
        <v>11</v>
      </c>
      <c r="AJ86">
        <v>7</v>
      </c>
      <c r="AK86">
        <v>24</v>
      </c>
      <c r="AL86">
        <v>25</v>
      </c>
      <c r="AM86">
        <v>45</v>
      </c>
      <c r="AN86">
        <v>25</v>
      </c>
      <c r="AO86">
        <v>30</v>
      </c>
      <c r="AP86">
        <v>45</v>
      </c>
      <c r="AQ86">
        <v>30</v>
      </c>
      <c r="AR86">
        <v>10</v>
      </c>
      <c r="AS86">
        <v>20</v>
      </c>
      <c r="AT86">
        <v>12</v>
      </c>
      <c r="AU86">
        <v>15</v>
      </c>
      <c r="AV86">
        <v>11</v>
      </c>
      <c r="AW86">
        <v>44</v>
      </c>
      <c r="AX86">
        <v>31</v>
      </c>
      <c r="AY86">
        <v>39</v>
      </c>
      <c r="AZ86">
        <v>14</v>
      </c>
      <c r="BA86">
        <v>23</v>
      </c>
      <c r="BB86">
        <v>8</v>
      </c>
      <c r="BC86">
        <v>48</v>
      </c>
      <c r="BD86">
        <v>27</v>
      </c>
      <c r="BE86">
        <v>48</v>
      </c>
      <c r="BF86">
        <v>75257</v>
      </c>
      <c r="BG86">
        <v>4812</v>
      </c>
    </row>
    <row r="87" spans="1:59" x14ac:dyDescent="0.3">
      <c r="A87" s="3">
        <v>45377</v>
      </c>
      <c r="B87" t="s">
        <v>62</v>
      </c>
      <c r="C87">
        <v>3</v>
      </c>
      <c r="D87">
        <v>689</v>
      </c>
      <c r="E87">
        <v>658</v>
      </c>
      <c r="F87">
        <v>38</v>
      </c>
      <c r="G87">
        <v>43</v>
      </c>
      <c r="H87">
        <v>16</v>
      </c>
      <c r="I87">
        <v>8</v>
      </c>
      <c r="J87">
        <v>20</v>
      </c>
      <c r="K87">
        <v>4</v>
      </c>
      <c r="L87">
        <v>2</v>
      </c>
      <c r="M87">
        <v>29</v>
      </c>
      <c r="N87">
        <v>31</v>
      </c>
      <c r="O87">
        <v>34</v>
      </c>
      <c r="P87">
        <v>41</v>
      </c>
      <c r="Q87">
        <v>2</v>
      </c>
      <c r="R87">
        <v>34</v>
      </c>
      <c r="S87">
        <v>22</v>
      </c>
      <c r="T87">
        <v>47</v>
      </c>
      <c r="U87">
        <v>0</v>
      </c>
      <c r="V87">
        <v>31</v>
      </c>
      <c r="W87">
        <v>49</v>
      </c>
      <c r="X87">
        <v>23</v>
      </c>
      <c r="Y87">
        <v>44</v>
      </c>
      <c r="Z87">
        <v>33</v>
      </c>
      <c r="AA87">
        <v>27</v>
      </c>
      <c r="AB87">
        <v>17</v>
      </c>
      <c r="AC87">
        <v>41</v>
      </c>
      <c r="AD87">
        <v>15</v>
      </c>
      <c r="AE87">
        <v>23</v>
      </c>
      <c r="AF87">
        <v>14</v>
      </c>
      <c r="AG87">
        <v>30</v>
      </c>
      <c r="AH87">
        <v>2</v>
      </c>
      <c r="AI87">
        <v>9</v>
      </c>
      <c r="AJ87">
        <v>42</v>
      </c>
      <c r="AK87">
        <v>13</v>
      </c>
      <c r="AL87">
        <v>3</v>
      </c>
      <c r="AM87">
        <v>29</v>
      </c>
      <c r="AN87">
        <v>33</v>
      </c>
      <c r="AO87">
        <v>47</v>
      </c>
      <c r="AP87">
        <v>46</v>
      </c>
      <c r="AQ87">
        <v>44</v>
      </c>
      <c r="AR87">
        <v>2</v>
      </c>
      <c r="AS87">
        <v>33</v>
      </c>
      <c r="AT87">
        <v>9</v>
      </c>
      <c r="AU87">
        <v>26</v>
      </c>
      <c r="AV87">
        <v>27</v>
      </c>
      <c r="AW87">
        <v>21</v>
      </c>
      <c r="AX87">
        <v>33</v>
      </c>
      <c r="AY87">
        <v>35</v>
      </c>
      <c r="AZ87">
        <v>5</v>
      </c>
      <c r="BA87">
        <v>15</v>
      </c>
      <c r="BB87">
        <v>49</v>
      </c>
      <c r="BC87">
        <v>2</v>
      </c>
      <c r="BD87">
        <v>23</v>
      </c>
      <c r="BE87">
        <v>45</v>
      </c>
      <c r="BF87">
        <v>75808</v>
      </c>
      <c r="BG87">
        <v>4824</v>
      </c>
    </row>
    <row r="88" spans="1:59" x14ac:dyDescent="0.3">
      <c r="A88" s="3">
        <v>45378</v>
      </c>
      <c r="B88" t="s">
        <v>62</v>
      </c>
      <c r="C88">
        <v>3</v>
      </c>
      <c r="D88">
        <v>691</v>
      </c>
      <c r="E88">
        <v>658</v>
      </c>
      <c r="F88">
        <v>14</v>
      </c>
      <c r="G88">
        <v>27</v>
      </c>
      <c r="H88">
        <v>35</v>
      </c>
      <c r="I88">
        <v>8</v>
      </c>
      <c r="J88">
        <v>43</v>
      </c>
      <c r="K88">
        <v>14</v>
      </c>
      <c r="L88">
        <v>1</v>
      </c>
      <c r="M88">
        <v>1</v>
      </c>
      <c r="N88">
        <v>27</v>
      </c>
      <c r="O88">
        <v>22</v>
      </c>
      <c r="P88">
        <v>21</v>
      </c>
      <c r="Q88">
        <v>6</v>
      </c>
      <c r="R88">
        <v>38</v>
      </c>
      <c r="S88">
        <v>13</v>
      </c>
      <c r="T88">
        <v>9</v>
      </c>
      <c r="U88">
        <v>3</v>
      </c>
      <c r="V88">
        <v>15</v>
      </c>
      <c r="W88">
        <v>18</v>
      </c>
      <c r="X88">
        <v>23</v>
      </c>
      <c r="Y88">
        <v>1</v>
      </c>
      <c r="Z88">
        <v>30</v>
      </c>
      <c r="AA88">
        <v>18</v>
      </c>
      <c r="AB88">
        <v>10</v>
      </c>
      <c r="AC88">
        <v>43</v>
      </c>
      <c r="AD88">
        <v>30</v>
      </c>
      <c r="AE88">
        <v>21</v>
      </c>
      <c r="AF88">
        <v>34</v>
      </c>
      <c r="AG88">
        <v>32</v>
      </c>
      <c r="AH88">
        <v>3</v>
      </c>
      <c r="AI88">
        <v>19</v>
      </c>
      <c r="AJ88">
        <v>12</v>
      </c>
      <c r="AK88">
        <v>36</v>
      </c>
      <c r="AL88">
        <v>25</v>
      </c>
      <c r="AM88">
        <v>6</v>
      </c>
      <c r="AN88">
        <v>11</v>
      </c>
      <c r="AO88">
        <v>23</v>
      </c>
      <c r="AP88">
        <v>21</v>
      </c>
      <c r="AQ88">
        <v>39</v>
      </c>
      <c r="AR88">
        <v>45</v>
      </c>
      <c r="AS88">
        <v>38</v>
      </c>
      <c r="AT88">
        <v>15</v>
      </c>
      <c r="AU88">
        <v>43</v>
      </c>
      <c r="AV88">
        <v>14</v>
      </c>
      <c r="AW88">
        <v>16</v>
      </c>
      <c r="AX88">
        <v>47</v>
      </c>
      <c r="AY88">
        <v>43</v>
      </c>
      <c r="AZ88">
        <v>20</v>
      </c>
      <c r="BA88">
        <v>18</v>
      </c>
      <c r="BB88">
        <v>49</v>
      </c>
      <c r="BC88">
        <v>28</v>
      </c>
      <c r="BD88">
        <v>24</v>
      </c>
      <c r="BE88">
        <v>30</v>
      </c>
      <c r="BF88">
        <v>76358</v>
      </c>
      <c r="BG88">
        <v>4836</v>
      </c>
    </row>
    <row r="89" spans="1:59" x14ac:dyDescent="0.3">
      <c r="A89" s="3">
        <v>45379</v>
      </c>
      <c r="B89" t="s">
        <v>62</v>
      </c>
      <c r="C89">
        <v>3</v>
      </c>
      <c r="D89">
        <v>693</v>
      </c>
      <c r="E89">
        <v>659</v>
      </c>
      <c r="F89">
        <v>25</v>
      </c>
      <c r="G89">
        <v>44</v>
      </c>
      <c r="H89">
        <v>39</v>
      </c>
      <c r="I89">
        <v>37</v>
      </c>
      <c r="J89">
        <v>7</v>
      </c>
      <c r="K89">
        <v>29</v>
      </c>
      <c r="L89">
        <v>24</v>
      </c>
      <c r="M89">
        <v>19</v>
      </c>
      <c r="N89">
        <v>2</v>
      </c>
      <c r="O89">
        <v>3</v>
      </c>
      <c r="P89">
        <v>6</v>
      </c>
      <c r="Q89">
        <v>39</v>
      </c>
      <c r="R89">
        <v>37</v>
      </c>
      <c r="S89">
        <v>19</v>
      </c>
      <c r="T89">
        <v>18</v>
      </c>
      <c r="U89">
        <v>25</v>
      </c>
      <c r="V89">
        <v>41</v>
      </c>
      <c r="W89">
        <v>20</v>
      </c>
      <c r="X89">
        <v>21</v>
      </c>
      <c r="Y89">
        <v>3</v>
      </c>
      <c r="Z89">
        <v>20</v>
      </c>
      <c r="AA89">
        <v>35</v>
      </c>
      <c r="AB89">
        <v>44</v>
      </c>
      <c r="AC89">
        <v>5</v>
      </c>
      <c r="AD89">
        <v>33</v>
      </c>
      <c r="AE89">
        <v>42</v>
      </c>
      <c r="AF89">
        <v>11</v>
      </c>
      <c r="AG89">
        <v>18</v>
      </c>
      <c r="AH89">
        <v>32</v>
      </c>
      <c r="AI89">
        <v>43</v>
      </c>
      <c r="AJ89">
        <v>1</v>
      </c>
      <c r="AK89">
        <v>27</v>
      </c>
      <c r="AL89">
        <v>36</v>
      </c>
      <c r="AM89">
        <v>21</v>
      </c>
      <c r="AN89">
        <v>40</v>
      </c>
      <c r="AO89">
        <v>45</v>
      </c>
      <c r="AP89">
        <v>1</v>
      </c>
      <c r="AQ89">
        <v>22</v>
      </c>
      <c r="AR89">
        <v>13</v>
      </c>
      <c r="AS89">
        <v>13</v>
      </c>
      <c r="AT89">
        <v>49</v>
      </c>
      <c r="AU89">
        <v>48</v>
      </c>
      <c r="AV89">
        <v>43</v>
      </c>
      <c r="AW89">
        <v>34</v>
      </c>
      <c r="AX89">
        <v>35</v>
      </c>
      <c r="AY89">
        <v>22</v>
      </c>
      <c r="AZ89">
        <v>16</v>
      </c>
      <c r="BA89">
        <v>3</v>
      </c>
      <c r="BB89">
        <v>28</v>
      </c>
      <c r="BC89">
        <v>1</v>
      </c>
      <c r="BD89">
        <v>31</v>
      </c>
      <c r="BE89">
        <v>27</v>
      </c>
      <c r="BF89">
        <v>76909</v>
      </c>
      <c r="BG89">
        <v>4848</v>
      </c>
    </row>
    <row r="90" spans="1:59" x14ac:dyDescent="0.3">
      <c r="A90" s="3">
        <v>45380</v>
      </c>
      <c r="B90" t="s">
        <v>62</v>
      </c>
      <c r="C90">
        <v>3</v>
      </c>
      <c r="D90">
        <v>694</v>
      </c>
      <c r="E90">
        <v>660</v>
      </c>
      <c r="F90">
        <v>29</v>
      </c>
      <c r="G90">
        <v>5</v>
      </c>
      <c r="H90">
        <v>36</v>
      </c>
      <c r="I90">
        <v>21</v>
      </c>
      <c r="J90">
        <v>29</v>
      </c>
      <c r="K90">
        <v>37</v>
      </c>
      <c r="L90">
        <v>30</v>
      </c>
      <c r="M90">
        <v>5</v>
      </c>
      <c r="N90">
        <v>7</v>
      </c>
      <c r="O90">
        <v>38</v>
      </c>
      <c r="P90">
        <v>24</v>
      </c>
      <c r="Q90">
        <v>16</v>
      </c>
      <c r="R90">
        <v>33</v>
      </c>
      <c r="S90">
        <v>23</v>
      </c>
      <c r="T90">
        <v>32</v>
      </c>
      <c r="U90">
        <v>32</v>
      </c>
      <c r="V90">
        <v>29</v>
      </c>
      <c r="W90">
        <v>29</v>
      </c>
      <c r="X90">
        <v>34</v>
      </c>
      <c r="Y90">
        <v>17</v>
      </c>
      <c r="Z90">
        <v>31</v>
      </c>
      <c r="AA90">
        <v>13</v>
      </c>
      <c r="AB90">
        <v>13</v>
      </c>
      <c r="AC90">
        <v>0</v>
      </c>
      <c r="AD90">
        <v>33</v>
      </c>
      <c r="AE90">
        <v>31</v>
      </c>
      <c r="AF90">
        <v>36</v>
      </c>
      <c r="AG90">
        <v>47</v>
      </c>
      <c r="AH90">
        <v>29</v>
      </c>
      <c r="AI90">
        <v>29</v>
      </c>
      <c r="AJ90">
        <v>47</v>
      </c>
      <c r="AK90">
        <v>12</v>
      </c>
      <c r="AL90">
        <v>22</v>
      </c>
      <c r="AM90">
        <v>4</v>
      </c>
      <c r="AN90">
        <v>11</v>
      </c>
      <c r="AO90">
        <v>1</v>
      </c>
      <c r="AP90">
        <v>20</v>
      </c>
      <c r="AQ90">
        <v>40</v>
      </c>
      <c r="AR90">
        <v>44</v>
      </c>
      <c r="AS90">
        <v>2</v>
      </c>
      <c r="AT90">
        <v>36</v>
      </c>
      <c r="AU90">
        <v>8</v>
      </c>
      <c r="AV90">
        <v>20</v>
      </c>
      <c r="AW90">
        <v>25</v>
      </c>
      <c r="AX90">
        <v>19</v>
      </c>
      <c r="AY90">
        <v>11</v>
      </c>
      <c r="AZ90">
        <v>12</v>
      </c>
      <c r="BA90">
        <v>5</v>
      </c>
      <c r="BB90">
        <v>34</v>
      </c>
      <c r="BC90">
        <v>27</v>
      </c>
      <c r="BD90">
        <v>1</v>
      </c>
      <c r="BE90">
        <v>34</v>
      </c>
      <c r="BF90">
        <v>77460</v>
      </c>
      <c r="BG90">
        <v>4860</v>
      </c>
    </row>
    <row r="91" spans="1:59" x14ac:dyDescent="0.3">
      <c r="A91" s="3">
        <v>45381</v>
      </c>
      <c r="B91" t="s">
        <v>62</v>
      </c>
      <c r="C91">
        <v>3</v>
      </c>
      <c r="D91">
        <v>696</v>
      </c>
      <c r="E91">
        <v>660</v>
      </c>
      <c r="F91">
        <v>31</v>
      </c>
      <c r="G91">
        <v>9</v>
      </c>
      <c r="H91">
        <v>36</v>
      </c>
      <c r="I91">
        <v>12</v>
      </c>
      <c r="J91">
        <v>13</v>
      </c>
      <c r="K91">
        <v>25</v>
      </c>
      <c r="L91">
        <v>20</v>
      </c>
      <c r="M91">
        <v>36</v>
      </c>
      <c r="N91">
        <v>17</v>
      </c>
      <c r="O91">
        <v>5</v>
      </c>
      <c r="P91">
        <v>45</v>
      </c>
      <c r="Q91">
        <v>39</v>
      </c>
      <c r="R91">
        <v>36</v>
      </c>
      <c r="S91">
        <v>26</v>
      </c>
      <c r="T91">
        <v>3</v>
      </c>
      <c r="U91">
        <v>9</v>
      </c>
      <c r="V91">
        <v>44</v>
      </c>
      <c r="W91">
        <v>11</v>
      </c>
      <c r="X91">
        <v>49</v>
      </c>
      <c r="Y91">
        <v>23</v>
      </c>
      <c r="Z91">
        <v>18</v>
      </c>
      <c r="AA91">
        <v>29</v>
      </c>
      <c r="AB91">
        <v>2</v>
      </c>
      <c r="AC91">
        <v>41</v>
      </c>
      <c r="AD91">
        <v>28</v>
      </c>
      <c r="AE91">
        <v>23</v>
      </c>
      <c r="AF91">
        <v>32</v>
      </c>
      <c r="AG91">
        <v>22</v>
      </c>
      <c r="AH91">
        <v>12</v>
      </c>
      <c r="AI91">
        <v>12</v>
      </c>
      <c r="AJ91">
        <v>34</v>
      </c>
      <c r="AK91">
        <v>8</v>
      </c>
      <c r="AL91">
        <v>3</v>
      </c>
      <c r="AM91">
        <v>32</v>
      </c>
      <c r="AN91">
        <v>44</v>
      </c>
      <c r="AO91">
        <v>46</v>
      </c>
      <c r="AP91">
        <v>11</v>
      </c>
      <c r="AQ91">
        <v>35</v>
      </c>
      <c r="AR91">
        <v>1</v>
      </c>
      <c r="AS91">
        <v>1</v>
      </c>
      <c r="AT91">
        <v>29</v>
      </c>
      <c r="AU91">
        <v>22</v>
      </c>
      <c r="AV91">
        <v>8</v>
      </c>
      <c r="AW91">
        <v>14</v>
      </c>
      <c r="AX91">
        <v>2</v>
      </c>
      <c r="AY91">
        <v>42</v>
      </c>
      <c r="AZ91">
        <v>17</v>
      </c>
      <c r="BA91">
        <v>18</v>
      </c>
      <c r="BB91">
        <v>32</v>
      </c>
      <c r="BC91">
        <v>30</v>
      </c>
      <c r="BD91">
        <v>19</v>
      </c>
      <c r="BE91">
        <v>27</v>
      </c>
      <c r="BF91">
        <v>78010</v>
      </c>
      <c r="BG91">
        <v>4872</v>
      </c>
    </row>
    <row r="92" spans="1:59" x14ac:dyDescent="0.3">
      <c r="A92" s="3">
        <v>45382</v>
      </c>
      <c r="B92" t="s">
        <v>62</v>
      </c>
      <c r="C92">
        <v>3</v>
      </c>
      <c r="D92">
        <v>697</v>
      </c>
      <c r="E92">
        <v>661</v>
      </c>
      <c r="F92">
        <v>42</v>
      </c>
      <c r="G92">
        <v>38</v>
      </c>
      <c r="H92">
        <v>29</v>
      </c>
      <c r="I92">
        <v>42</v>
      </c>
      <c r="J92">
        <v>41</v>
      </c>
      <c r="K92">
        <v>40</v>
      </c>
      <c r="L92">
        <v>11</v>
      </c>
      <c r="M92">
        <v>19</v>
      </c>
      <c r="N92">
        <v>29</v>
      </c>
      <c r="O92">
        <v>41</v>
      </c>
      <c r="P92">
        <v>28</v>
      </c>
      <c r="Q92">
        <v>39</v>
      </c>
      <c r="R92">
        <v>33</v>
      </c>
      <c r="S92">
        <v>5</v>
      </c>
      <c r="T92">
        <v>19</v>
      </c>
      <c r="U92">
        <v>21</v>
      </c>
      <c r="V92">
        <v>21</v>
      </c>
      <c r="W92">
        <v>31</v>
      </c>
      <c r="X92">
        <v>42</v>
      </c>
      <c r="Y92">
        <v>8</v>
      </c>
      <c r="Z92">
        <v>8</v>
      </c>
      <c r="AA92">
        <v>22</v>
      </c>
      <c r="AB92">
        <v>12</v>
      </c>
      <c r="AC92">
        <v>29</v>
      </c>
      <c r="AD92">
        <v>18</v>
      </c>
      <c r="AE92">
        <v>48</v>
      </c>
      <c r="AF92">
        <v>31</v>
      </c>
      <c r="AG92">
        <v>24</v>
      </c>
      <c r="AH92">
        <v>33</v>
      </c>
      <c r="AI92">
        <v>2</v>
      </c>
      <c r="AJ92">
        <v>1</v>
      </c>
      <c r="AK92">
        <v>27</v>
      </c>
      <c r="AL92">
        <v>20</v>
      </c>
      <c r="AM92">
        <v>29</v>
      </c>
      <c r="AN92">
        <v>4</v>
      </c>
      <c r="AO92">
        <v>43</v>
      </c>
      <c r="AP92">
        <v>17</v>
      </c>
      <c r="AQ92">
        <v>30</v>
      </c>
      <c r="AR92">
        <v>24</v>
      </c>
      <c r="AS92">
        <v>26</v>
      </c>
      <c r="AT92">
        <v>36</v>
      </c>
      <c r="AU92">
        <v>29</v>
      </c>
      <c r="AV92">
        <v>20</v>
      </c>
      <c r="AW92">
        <v>11</v>
      </c>
      <c r="AX92">
        <v>7</v>
      </c>
      <c r="AY92">
        <v>49</v>
      </c>
      <c r="AZ92">
        <v>5</v>
      </c>
      <c r="BA92">
        <v>39</v>
      </c>
      <c r="BB92">
        <v>23</v>
      </c>
      <c r="BC92">
        <v>44</v>
      </c>
      <c r="BD92">
        <v>14</v>
      </c>
      <c r="BE92">
        <v>22</v>
      </c>
      <c r="BF92">
        <v>78561</v>
      </c>
      <c r="BG92">
        <v>4884</v>
      </c>
    </row>
    <row r="93" spans="1:59" x14ac:dyDescent="0.3">
      <c r="A93" s="3">
        <v>45383</v>
      </c>
      <c r="B93" t="s">
        <v>63</v>
      </c>
      <c r="C93">
        <v>4</v>
      </c>
      <c r="D93">
        <v>699</v>
      </c>
      <c r="E93">
        <v>662</v>
      </c>
      <c r="F93">
        <v>42</v>
      </c>
      <c r="G93">
        <v>11</v>
      </c>
      <c r="H93">
        <v>18</v>
      </c>
      <c r="I93">
        <v>46</v>
      </c>
      <c r="J93">
        <v>41</v>
      </c>
      <c r="K93">
        <v>31</v>
      </c>
      <c r="L93">
        <v>9</v>
      </c>
      <c r="M93">
        <v>40</v>
      </c>
      <c r="N93">
        <v>22</v>
      </c>
      <c r="O93">
        <v>7</v>
      </c>
      <c r="P93">
        <v>21</v>
      </c>
      <c r="Q93">
        <v>25</v>
      </c>
      <c r="R93">
        <v>48</v>
      </c>
      <c r="S93">
        <v>38</v>
      </c>
      <c r="T93">
        <v>40</v>
      </c>
      <c r="U93">
        <v>13</v>
      </c>
      <c r="V93">
        <v>19</v>
      </c>
      <c r="W93">
        <v>18</v>
      </c>
      <c r="X93">
        <v>32</v>
      </c>
      <c r="Y93">
        <v>8</v>
      </c>
      <c r="Z93">
        <v>9</v>
      </c>
      <c r="AA93">
        <v>15</v>
      </c>
      <c r="AB93">
        <v>19</v>
      </c>
      <c r="AC93">
        <v>32</v>
      </c>
      <c r="AD93">
        <v>29</v>
      </c>
      <c r="AE93">
        <v>5</v>
      </c>
      <c r="AF93">
        <v>31</v>
      </c>
      <c r="AG93">
        <v>32</v>
      </c>
      <c r="AH93">
        <v>49</v>
      </c>
      <c r="AI93">
        <v>36</v>
      </c>
      <c r="AJ93">
        <v>28</v>
      </c>
      <c r="AK93">
        <v>24</v>
      </c>
      <c r="AL93">
        <v>31</v>
      </c>
      <c r="AM93">
        <v>26</v>
      </c>
      <c r="AN93">
        <v>15</v>
      </c>
      <c r="AO93">
        <v>25</v>
      </c>
      <c r="AP93">
        <v>40</v>
      </c>
      <c r="AQ93">
        <v>22</v>
      </c>
      <c r="AR93">
        <v>45</v>
      </c>
      <c r="AS93">
        <v>43</v>
      </c>
      <c r="AT93">
        <v>24</v>
      </c>
      <c r="AU93">
        <v>4</v>
      </c>
      <c r="AV93">
        <v>20</v>
      </c>
      <c r="AW93">
        <v>48</v>
      </c>
      <c r="AX93">
        <v>12</v>
      </c>
      <c r="AY93">
        <v>20</v>
      </c>
      <c r="AZ93">
        <v>7</v>
      </c>
      <c r="BA93">
        <v>36</v>
      </c>
      <c r="BB93">
        <v>31</v>
      </c>
      <c r="BC93">
        <v>2</v>
      </c>
      <c r="BD93">
        <v>34</v>
      </c>
      <c r="BE93">
        <v>15</v>
      </c>
      <c r="BF93">
        <v>79112</v>
      </c>
      <c r="BG93">
        <v>4896</v>
      </c>
    </row>
    <row r="94" spans="1:59" x14ac:dyDescent="0.3">
      <c r="A94" s="3">
        <v>45384</v>
      </c>
      <c r="B94" t="s">
        <v>63</v>
      </c>
      <c r="C94">
        <v>4</v>
      </c>
      <c r="D94">
        <v>701</v>
      </c>
      <c r="E94">
        <v>663</v>
      </c>
      <c r="F94">
        <v>19</v>
      </c>
      <c r="G94">
        <v>27</v>
      </c>
      <c r="H94">
        <v>5</v>
      </c>
      <c r="I94">
        <v>22</v>
      </c>
      <c r="J94">
        <v>12</v>
      </c>
      <c r="K94">
        <v>37</v>
      </c>
      <c r="L94">
        <v>25</v>
      </c>
      <c r="M94">
        <v>22</v>
      </c>
      <c r="N94">
        <v>41</v>
      </c>
      <c r="O94">
        <v>10</v>
      </c>
      <c r="P94">
        <v>10</v>
      </c>
      <c r="Q94">
        <v>48</v>
      </c>
      <c r="R94">
        <v>8</v>
      </c>
      <c r="S94">
        <v>23</v>
      </c>
      <c r="T94">
        <v>23</v>
      </c>
      <c r="U94">
        <v>34</v>
      </c>
      <c r="V94">
        <v>39</v>
      </c>
      <c r="W94">
        <v>25</v>
      </c>
      <c r="X94">
        <v>13</v>
      </c>
      <c r="Y94">
        <v>49</v>
      </c>
      <c r="Z94">
        <v>39</v>
      </c>
      <c r="AA94">
        <v>10</v>
      </c>
      <c r="AB94">
        <v>48</v>
      </c>
      <c r="AC94">
        <v>12</v>
      </c>
      <c r="AD94">
        <v>35</v>
      </c>
      <c r="AE94">
        <v>26</v>
      </c>
      <c r="AF94">
        <v>3</v>
      </c>
      <c r="AG94">
        <v>46</v>
      </c>
      <c r="AH94">
        <v>4</v>
      </c>
      <c r="AI94">
        <v>29</v>
      </c>
      <c r="AJ94">
        <v>25</v>
      </c>
      <c r="AK94">
        <v>22</v>
      </c>
      <c r="AL94">
        <v>30</v>
      </c>
      <c r="AM94">
        <v>19</v>
      </c>
      <c r="AN94">
        <v>6</v>
      </c>
      <c r="AO94">
        <v>21</v>
      </c>
      <c r="AP94">
        <v>34</v>
      </c>
      <c r="AQ94">
        <v>48</v>
      </c>
      <c r="AR94">
        <v>27</v>
      </c>
      <c r="AS94">
        <v>12</v>
      </c>
      <c r="AT94">
        <v>46</v>
      </c>
      <c r="AU94">
        <v>41</v>
      </c>
      <c r="AV94">
        <v>49</v>
      </c>
      <c r="AW94">
        <v>21</v>
      </c>
      <c r="AX94">
        <v>33</v>
      </c>
      <c r="AY94">
        <v>45</v>
      </c>
      <c r="AZ94">
        <v>31</v>
      </c>
      <c r="BA94">
        <v>18</v>
      </c>
      <c r="BB94">
        <v>12</v>
      </c>
      <c r="BC94">
        <v>46</v>
      </c>
      <c r="BD94">
        <v>45</v>
      </c>
      <c r="BE94">
        <v>39</v>
      </c>
      <c r="BF94">
        <v>79663</v>
      </c>
      <c r="BG94">
        <v>4909</v>
      </c>
    </row>
    <row r="95" spans="1:59" x14ac:dyDescent="0.3">
      <c r="A95" s="3">
        <v>45385</v>
      </c>
      <c r="B95" t="s">
        <v>63</v>
      </c>
      <c r="C95">
        <v>4</v>
      </c>
      <c r="D95">
        <v>702</v>
      </c>
      <c r="E95">
        <v>663</v>
      </c>
      <c r="F95">
        <v>32</v>
      </c>
      <c r="G95">
        <v>21</v>
      </c>
      <c r="H95">
        <v>30</v>
      </c>
      <c r="I95">
        <v>27</v>
      </c>
      <c r="J95">
        <v>37</v>
      </c>
      <c r="K95">
        <v>48</v>
      </c>
      <c r="L95">
        <v>26</v>
      </c>
      <c r="M95">
        <v>20</v>
      </c>
      <c r="N95">
        <v>20</v>
      </c>
      <c r="O95">
        <v>48</v>
      </c>
      <c r="P95">
        <v>24</v>
      </c>
      <c r="Q95">
        <v>9</v>
      </c>
      <c r="R95">
        <v>7</v>
      </c>
      <c r="S95">
        <v>4</v>
      </c>
      <c r="T95">
        <v>18</v>
      </c>
      <c r="U95">
        <v>2</v>
      </c>
      <c r="V95">
        <v>15</v>
      </c>
      <c r="W95">
        <v>27</v>
      </c>
      <c r="X95">
        <v>37</v>
      </c>
      <c r="Y95">
        <v>12</v>
      </c>
      <c r="Z95">
        <v>36</v>
      </c>
      <c r="AA95">
        <v>29</v>
      </c>
      <c r="AB95">
        <v>29</v>
      </c>
      <c r="AC95">
        <v>7</v>
      </c>
      <c r="AD95">
        <v>34</v>
      </c>
      <c r="AE95">
        <v>23</v>
      </c>
      <c r="AF95">
        <v>33</v>
      </c>
      <c r="AG95">
        <v>17</v>
      </c>
      <c r="AH95">
        <v>30</v>
      </c>
      <c r="AI95">
        <v>12</v>
      </c>
      <c r="AJ95">
        <v>40</v>
      </c>
      <c r="AK95">
        <v>14</v>
      </c>
      <c r="AL95">
        <v>23</v>
      </c>
      <c r="AM95">
        <v>15</v>
      </c>
      <c r="AN95">
        <v>30</v>
      </c>
      <c r="AO95">
        <v>9</v>
      </c>
      <c r="AP95">
        <v>29</v>
      </c>
      <c r="AQ95">
        <v>42</v>
      </c>
      <c r="AR95">
        <v>28</v>
      </c>
      <c r="AS95">
        <v>0</v>
      </c>
      <c r="AT95">
        <v>3</v>
      </c>
      <c r="AU95">
        <v>36</v>
      </c>
      <c r="AV95">
        <v>46</v>
      </c>
      <c r="AW95">
        <v>43</v>
      </c>
      <c r="AX95">
        <v>44</v>
      </c>
      <c r="AY95">
        <v>12</v>
      </c>
      <c r="AZ95">
        <v>27</v>
      </c>
      <c r="BA95">
        <v>43</v>
      </c>
      <c r="BB95">
        <v>43</v>
      </c>
      <c r="BC95">
        <v>27</v>
      </c>
      <c r="BD95">
        <v>46</v>
      </c>
      <c r="BE95">
        <v>35</v>
      </c>
      <c r="BF95">
        <v>80213</v>
      </c>
      <c r="BG95">
        <v>4921</v>
      </c>
    </row>
    <row r="96" spans="1:59" x14ac:dyDescent="0.3">
      <c r="A96" s="3">
        <v>45386</v>
      </c>
      <c r="B96" t="s">
        <v>63</v>
      </c>
      <c r="C96">
        <v>4</v>
      </c>
      <c r="D96">
        <v>704</v>
      </c>
      <c r="E96">
        <v>664</v>
      </c>
      <c r="F96">
        <v>30</v>
      </c>
      <c r="G96">
        <v>10</v>
      </c>
      <c r="H96">
        <v>15</v>
      </c>
      <c r="I96">
        <v>4</v>
      </c>
      <c r="J96">
        <v>12</v>
      </c>
      <c r="K96">
        <v>19</v>
      </c>
      <c r="L96">
        <v>25</v>
      </c>
      <c r="M96">
        <v>6</v>
      </c>
      <c r="N96">
        <v>21</v>
      </c>
      <c r="O96">
        <v>30</v>
      </c>
      <c r="P96">
        <v>1</v>
      </c>
      <c r="Q96">
        <v>24</v>
      </c>
      <c r="R96">
        <v>12</v>
      </c>
      <c r="S96">
        <v>42</v>
      </c>
      <c r="T96">
        <v>2</v>
      </c>
      <c r="U96">
        <v>49</v>
      </c>
      <c r="V96">
        <v>7</v>
      </c>
      <c r="W96">
        <v>14</v>
      </c>
      <c r="X96">
        <v>3</v>
      </c>
      <c r="Y96">
        <v>23</v>
      </c>
      <c r="Z96">
        <v>10</v>
      </c>
      <c r="AA96">
        <v>36</v>
      </c>
      <c r="AB96">
        <v>44</v>
      </c>
      <c r="AC96">
        <v>29</v>
      </c>
      <c r="AD96">
        <v>20</v>
      </c>
      <c r="AE96">
        <v>49</v>
      </c>
      <c r="AF96">
        <v>9</v>
      </c>
      <c r="AG96">
        <v>0</v>
      </c>
      <c r="AH96">
        <v>24</v>
      </c>
      <c r="AI96">
        <v>25</v>
      </c>
      <c r="AJ96">
        <v>42</v>
      </c>
      <c r="AK96">
        <v>25</v>
      </c>
      <c r="AL96">
        <v>49</v>
      </c>
      <c r="AM96">
        <v>9</v>
      </c>
      <c r="AN96">
        <v>39</v>
      </c>
      <c r="AO96">
        <v>36</v>
      </c>
      <c r="AP96">
        <v>2</v>
      </c>
      <c r="AQ96">
        <v>39</v>
      </c>
      <c r="AR96">
        <v>13</v>
      </c>
      <c r="AS96">
        <v>44</v>
      </c>
      <c r="AT96">
        <v>49</v>
      </c>
      <c r="AU96">
        <v>17</v>
      </c>
      <c r="AV96">
        <v>8</v>
      </c>
      <c r="AW96">
        <v>5</v>
      </c>
      <c r="AX96">
        <v>37</v>
      </c>
      <c r="AY96">
        <v>6</v>
      </c>
      <c r="AZ96">
        <v>23</v>
      </c>
      <c r="BA96">
        <v>44</v>
      </c>
      <c r="BB96">
        <v>3</v>
      </c>
      <c r="BC96">
        <v>22</v>
      </c>
      <c r="BD96">
        <v>24</v>
      </c>
      <c r="BE96">
        <v>13</v>
      </c>
      <c r="BF96">
        <v>80764</v>
      </c>
      <c r="BG96">
        <v>4933</v>
      </c>
    </row>
    <row r="97" spans="1:59" x14ac:dyDescent="0.3">
      <c r="A97" s="3">
        <v>45387</v>
      </c>
      <c r="B97" t="s">
        <v>63</v>
      </c>
      <c r="C97">
        <v>4</v>
      </c>
      <c r="D97">
        <v>706</v>
      </c>
      <c r="E97">
        <v>665</v>
      </c>
      <c r="F97">
        <v>3</v>
      </c>
      <c r="G97">
        <v>3</v>
      </c>
      <c r="H97">
        <v>0</v>
      </c>
      <c r="I97">
        <v>43</v>
      </c>
      <c r="J97">
        <v>4</v>
      </c>
      <c r="K97">
        <v>34</v>
      </c>
      <c r="L97">
        <v>5</v>
      </c>
      <c r="M97">
        <v>43</v>
      </c>
      <c r="N97">
        <v>14</v>
      </c>
      <c r="O97">
        <v>49</v>
      </c>
      <c r="P97">
        <v>39</v>
      </c>
      <c r="Q97">
        <v>17</v>
      </c>
      <c r="R97">
        <v>34</v>
      </c>
      <c r="S97">
        <v>22</v>
      </c>
      <c r="T97">
        <v>41</v>
      </c>
      <c r="U97">
        <v>12</v>
      </c>
      <c r="V97">
        <v>24</v>
      </c>
      <c r="W97">
        <v>41</v>
      </c>
      <c r="X97">
        <v>30</v>
      </c>
      <c r="Y97">
        <v>18</v>
      </c>
      <c r="Z97">
        <v>7</v>
      </c>
      <c r="AA97">
        <v>42</v>
      </c>
      <c r="AB97">
        <v>29</v>
      </c>
      <c r="AC97">
        <v>15</v>
      </c>
      <c r="AD97">
        <v>2</v>
      </c>
      <c r="AE97">
        <v>1</v>
      </c>
      <c r="AF97">
        <v>45</v>
      </c>
      <c r="AG97">
        <v>46</v>
      </c>
      <c r="AH97">
        <v>5</v>
      </c>
      <c r="AI97">
        <v>26</v>
      </c>
      <c r="AJ97">
        <v>28</v>
      </c>
      <c r="AK97">
        <v>47</v>
      </c>
      <c r="AL97">
        <v>48</v>
      </c>
      <c r="AM97">
        <v>41</v>
      </c>
      <c r="AN97">
        <v>11</v>
      </c>
      <c r="AO97">
        <v>21</v>
      </c>
      <c r="AP97">
        <v>33</v>
      </c>
      <c r="AQ97">
        <v>8</v>
      </c>
      <c r="AR97">
        <v>36</v>
      </c>
      <c r="AS97">
        <v>49</v>
      </c>
      <c r="AT97">
        <v>17</v>
      </c>
      <c r="AU97">
        <v>2</v>
      </c>
      <c r="AV97">
        <v>20</v>
      </c>
      <c r="AW97">
        <v>10</v>
      </c>
      <c r="AX97">
        <v>22</v>
      </c>
      <c r="AY97">
        <v>30</v>
      </c>
      <c r="AZ97">
        <v>36</v>
      </c>
      <c r="BA97">
        <v>26</v>
      </c>
      <c r="BB97">
        <v>21</v>
      </c>
      <c r="BC97">
        <v>25</v>
      </c>
      <c r="BD97">
        <v>45</v>
      </c>
      <c r="BE97">
        <v>30</v>
      </c>
      <c r="BF97">
        <v>81315</v>
      </c>
      <c r="BG97">
        <v>4945</v>
      </c>
    </row>
    <row r="98" spans="1:59" x14ac:dyDescent="0.3">
      <c r="A98" s="3">
        <v>45388</v>
      </c>
      <c r="B98" t="s">
        <v>63</v>
      </c>
      <c r="C98">
        <v>4</v>
      </c>
      <c r="D98">
        <v>707</v>
      </c>
      <c r="E98">
        <v>665</v>
      </c>
      <c r="F98">
        <v>27</v>
      </c>
      <c r="G98">
        <v>1</v>
      </c>
      <c r="H98">
        <v>17</v>
      </c>
      <c r="I98">
        <v>39</v>
      </c>
      <c r="J98">
        <v>8</v>
      </c>
      <c r="K98">
        <v>32</v>
      </c>
      <c r="L98">
        <v>35</v>
      </c>
      <c r="M98">
        <v>48</v>
      </c>
      <c r="N98">
        <v>10</v>
      </c>
      <c r="O98">
        <v>47</v>
      </c>
      <c r="P98">
        <v>11</v>
      </c>
      <c r="Q98">
        <v>26</v>
      </c>
      <c r="R98">
        <v>30</v>
      </c>
      <c r="S98">
        <v>44</v>
      </c>
      <c r="T98">
        <v>1</v>
      </c>
      <c r="U98">
        <v>47</v>
      </c>
      <c r="V98">
        <v>17</v>
      </c>
      <c r="W98">
        <v>0</v>
      </c>
      <c r="X98">
        <v>42</v>
      </c>
      <c r="Y98">
        <v>11</v>
      </c>
      <c r="Z98">
        <v>26</v>
      </c>
      <c r="AA98">
        <v>14</v>
      </c>
      <c r="AB98">
        <v>16</v>
      </c>
      <c r="AC98">
        <v>28</v>
      </c>
      <c r="AD98">
        <v>11</v>
      </c>
      <c r="AE98">
        <v>19</v>
      </c>
      <c r="AF98">
        <v>4</v>
      </c>
      <c r="AG98">
        <v>20</v>
      </c>
      <c r="AH98">
        <v>6</v>
      </c>
      <c r="AI98">
        <v>47</v>
      </c>
      <c r="AJ98">
        <v>44</v>
      </c>
      <c r="AK98">
        <v>40</v>
      </c>
      <c r="AL98">
        <v>17</v>
      </c>
      <c r="AM98">
        <v>26</v>
      </c>
      <c r="AN98">
        <v>48</v>
      </c>
      <c r="AO98">
        <v>17</v>
      </c>
      <c r="AP98">
        <v>19</v>
      </c>
      <c r="AQ98">
        <v>12</v>
      </c>
      <c r="AR98">
        <v>27</v>
      </c>
      <c r="AS98">
        <v>14</v>
      </c>
      <c r="AT98">
        <v>23</v>
      </c>
      <c r="AU98">
        <v>39</v>
      </c>
      <c r="AV98">
        <v>42</v>
      </c>
      <c r="AW98">
        <v>4</v>
      </c>
      <c r="AX98">
        <v>16</v>
      </c>
      <c r="AY98">
        <v>25</v>
      </c>
      <c r="AZ98">
        <v>7</v>
      </c>
      <c r="BA98">
        <v>16</v>
      </c>
      <c r="BB98">
        <v>32</v>
      </c>
      <c r="BC98">
        <v>21</v>
      </c>
      <c r="BD98">
        <v>3</v>
      </c>
      <c r="BE98">
        <v>35</v>
      </c>
      <c r="BF98">
        <v>81865</v>
      </c>
      <c r="BG98">
        <v>4957</v>
      </c>
    </row>
    <row r="99" spans="1:59" x14ac:dyDescent="0.3">
      <c r="A99" s="3">
        <v>45389</v>
      </c>
      <c r="B99" t="s">
        <v>63</v>
      </c>
      <c r="C99">
        <v>4</v>
      </c>
      <c r="D99">
        <v>709</v>
      </c>
      <c r="E99">
        <v>666</v>
      </c>
      <c r="F99">
        <v>19</v>
      </c>
      <c r="G99">
        <v>16</v>
      </c>
      <c r="H99">
        <v>9</v>
      </c>
      <c r="I99">
        <v>12</v>
      </c>
      <c r="J99">
        <v>38</v>
      </c>
      <c r="K99">
        <v>0</v>
      </c>
      <c r="L99">
        <v>14</v>
      </c>
      <c r="M99">
        <v>32</v>
      </c>
      <c r="N99">
        <v>10</v>
      </c>
      <c r="O99">
        <v>30</v>
      </c>
      <c r="P99">
        <v>22</v>
      </c>
      <c r="Q99">
        <v>48</v>
      </c>
      <c r="R99">
        <v>33</v>
      </c>
      <c r="S99">
        <v>43</v>
      </c>
      <c r="T99">
        <v>19</v>
      </c>
      <c r="U99">
        <v>13</v>
      </c>
      <c r="V99">
        <v>10</v>
      </c>
      <c r="W99">
        <v>40</v>
      </c>
      <c r="X99">
        <v>9</v>
      </c>
      <c r="Y99">
        <v>30</v>
      </c>
      <c r="Z99">
        <v>29</v>
      </c>
      <c r="AA99">
        <v>32</v>
      </c>
      <c r="AB99">
        <v>45</v>
      </c>
      <c r="AC99">
        <v>25</v>
      </c>
      <c r="AD99">
        <v>25</v>
      </c>
      <c r="AE99">
        <v>7</v>
      </c>
      <c r="AF99">
        <v>7</v>
      </c>
      <c r="AG99">
        <v>39</v>
      </c>
      <c r="AH99">
        <v>4</v>
      </c>
      <c r="AI99">
        <v>13</v>
      </c>
      <c r="AJ99">
        <v>2</v>
      </c>
      <c r="AK99">
        <v>21</v>
      </c>
      <c r="AL99">
        <v>49</v>
      </c>
      <c r="AM99">
        <v>24</v>
      </c>
      <c r="AN99">
        <v>27</v>
      </c>
      <c r="AO99">
        <v>14</v>
      </c>
      <c r="AP99">
        <v>12</v>
      </c>
      <c r="AQ99">
        <v>28</v>
      </c>
      <c r="AR99">
        <v>28</v>
      </c>
      <c r="AS99">
        <v>43</v>
      </c>
      <c r="AT99">
        <v>49</v>
      </c>
      <c r="AU99">
        <v>12</v>
      </c>
      <c r="AV99">
        <v>11</v>
      </c>
      <c r="AW99">
        <v>22</v>
      </c>
      <c r="AX99">
        <v>37</v>
      </c>
      <c r="AY99">
        <v>21</v>
      </c>
      <c r="AZ99">
        <v>44</v>
      </c>
      <c r="BA99">
        <v>19</v>
      </c>
      <c r="BB99">
        <v>34</v>
      </c>
      <c r="BC99">
        <v>11</v>
      </c>
      <c r="BD99">
        <v>7</v>
      </c>
      <c r="BE99">
        <v>35</v>
      </c>
      <c r="BF99">
        <v>82416</v>
      </c>
      <c r="BG99">
        <v>4969</v>
      </c>
    </row>
    <row r="100" spans="1:59" x14ac:dyDescent="0.3">
      <c r="A100" s="3">
        <v>45390</v>
      </c>
      <c r="B100" t="s">
        <v>63</v>
      </c>
      <c r="C100">
        <v>4</v>
      </c>
      <c r="D100">
        <v>711</v>
      </c>
      <c r="E100">
        <v>667</v>
      </c>
      <c r="F100">
        <v>49</v>
      </c>
      <c r="G100">
        <v>38</v>
      </c>
      <c r="H100">
        <v>28</v>
      </c>
      <c r="I100">
        <v>21</v>
      </c>
      <c r="J100">
        <v>4</v>
      </c>
      <c r="K100">
        <v>22</v>
      </c>
      <c r="L100">
        <v>15</v>
      </c>
      <c r="M100">
        <v>35</v>
      </c>
      <c r="N100">
        <v>22</v>
      </c>
      <c r="O100">
        <v>25</v>
      </c>
      <c r="P100">
        <v>10</v>
      </c>
      <c r="Q100">
        <v>12</v>
      </c>
      <c r="R100">
        <v>20</v>
      </c>
      <c r="S100">
        <v>41</v>
      </c>
      <c r="T100">
        <v>15</v>
      </c>
      <c r="U100">
        <v>46</v>
      </c>
      <c r="V100">
        <v>6</v>
      </c>
      <c r="W100">
        <v>42</v>
      </c>
      <c r="X100">
        <v>16</v>
      </c>
      <c r="Y100">
        <v>17</v>
      </c>
      <c r="Z100">
        <v>10</v>
      </c>
      <c r="AA100">
        <v>36</v>
      </c>
      <c r="AB100">
        <v>24</v>
      </c>
      <c r="AC100">
        <v>40</v>
      </c>
      <c r="AD100">
        <v>47</v>
      </c>
      <c r="AE100">
        <v>8</v>
      </c>
      <c r="AF100">
        <v>21</v>
      </c>
      <c r="AG100">
        <v>17</v>
      </c>
      <c r="AH100">
        <v>49</v>
      </c>
      <c r="AI100">
        <v>10</v>
      </c>
      <c r="AJ100">
        <v>6</v>
      </c>
      <c r="AK100">
        <v>3</v>
      </c>
      <c r="AL100">
        <v>4</v>
      </c>
      <c r="AM100">
        <v>7</v>
      </c>
      <c r="AN100">
        <v>11</v>
      </c>
      <c r="AO100">
        <v>30</v>
      </c>
      <c r="AP100">
        <v>40</v>
      </c>
      <c r="AQ100">
        <v>17</v>
      </c>
      <c r="AR100">
        <v>6</v>
      </c>
      <c r="AS100">
        <v>29</v>
      </c>
      <c r="AT100">
        <v>9</v>
      </c>
      <c r="AU100">
        <v>23</v>
      </c>
      <c r="AV100">
        <v>7</v>
      </c>
      <c r="AW100">
        <v>46</v>
      </c>
      <c r="AX100">
        <v>31</v>
      </c>
      <c r="AY100">
        <v>29</v>
      </c>
      <c r="AZ100">
        <v>21</v>
      </c>
      <c r="BA100">
        <v>8</v>
      </c>
      <c r="BB100">
        <v>3</v>
      </c>
      <c r="BC100">
        <v>33</v>
      </c>
      <c r="BD100">
        <v>10</v>
      </c>
      <c r="BE100">
        <v>14</v>
      </c>
      <c r="BF100">
        <v>82967</v>
      </c>
      <c r="BG100">
        <v>4981</v>
      </c>
    </row>
    <row r="101" spans="1:59" x14ac:dyDescent="0.3">
      <c r="A101" s="3">
        <v>45391</v>
      </c>
      <c r="B101" t="s">
        <v>63</v>
      </c>
      <c r="C101">
        <v>4</v>
      </c>
      <c r="D101">
        <v>712</v>
      </c>
      <c r="E101">
        <v>667</v>
      </c>
      <c r="F101">
        <v>9</v>
      </c>
      <c r="G101">
        <v>18</v>
      </c>
      <c r="H101">
        <v>36</v>
      </c>
      <c r="I101">
        <v>45</v>
      </c>
      <c r="J101">
        <v>41</v>
      </c>
      <c r="K101">
        <v>44</v>
      </c>
      <c r="L101">
        <v>47</v>
      </c>
      <c r="M101">
        <v>0</v>
      </c>
      <c r="N101">
        <v>35</v>
      </c>
      <c r="O101">
        <v>21</v>
      </c>
      <c r="P101">
        <v>20</v>
      </c>
      <c r="Q101">
        <v>16</v>
      </c>
      <c r="R101">
        <v>16</v>
      </c>
      <c r="S101">
        <v>40</v>
      </c>
      <c r="T101">
        <v>5</v>
      </c>
      <c r="U101">
        <v>18</v>
      </c>
      <c r="V101">
        <v>39</v>
      </c>
      <c r="W101">
        <v>7</v>
      </c>
      <c r="X101">
        <v>6</v>
      </c>
      <c r="Y101">
        <v>35</v>
      </c>
      <c r="Z101">
        <v>18</v>
      </c>
      <c r="AA101">
        <v>38</v>
      </c>
      <c r="AB101">
        <v>4</v>
      </c>
      <c r="AC101">
        <v>11</v>
      </c>
      <c r="AD101">
        <v>28</v>
      </c>
      <c r="AE101">
        <v>8</v>
      </c>
      <c r="AF101">
        <v>5</v>
      </c>
      <c r="AG101">
        <v>46</v>
      </c>
      <c r="AH101">
        <v>49</v>
      </c>
      <c r="AI101">
        <v>25</v>
      </c>
      <c r="AJ101">
        <v>38</v>
      </c>
      <c r="AK101">
        <v>34</v>
      </c>
      <c r="AL101">
        <v>43</v>
      </c>
      <c r="AM101">
        <v>7</v>
      </c>
      <c r="AN101">
        <v>48</v>
      </c>
      <c r="AO101">
        <v>42</v>
      </c>
      <c r="AP101">
        <v>15</v>
      </c>
      <c r="AQ101">
        <v>37</v>
      </c>
      <c r="AR101">
        <v>34</v>
      </c>
      <c r="AS101">
        <v>15</v>
      </c>
      <c r="AT101">
        <v>28</v>
      </c>
      <c r="AU101">
        <v>4</v>
      </c>
      <c r="AV101">
        <v>24</v>
      </c>
      <c r="AW101">
        <v>34</v>
      </c>
      <c r="AX101">
        <v>48</v>
      </c>
      <c r="AY101">
        <v>45</v>
      </c>
      <c r="AZ101">
        <v>42</v>
      </c>
      <c r="BA101">
        <v>36</v>
      </c>
      <c r="BB101">
        <v>17</v>
      </c>
      <c r="BC101">
        <v>41</v>
      </c>
      <c r="BD101">
        <v>25</v>
      </c>
      <c r="BE101">
        <v>3</v>
      </c>
      <c r="BF101">
        <v>83517</v>
      </c>
      <c r="BG101">
        <v>4993</v>
      </c>
    </row>
    <row r="102" spans="1:59" x14ac:dyDescent="0.3">
      <c r="A102" s="3">
        <v>45392</v>
      </c>
      <c r="B102" t="s">
        <v>63</v>
      </c>
      <c r="C102">
        <v>4</v>
      </c>
      <c r="D102">
        <v>714</v>
      </c>
      <c r="E102">
        <v>668</v>
      </c>
      <c r="F102">
        <v>40</v>
      </c>
      <c r="G102">
        <v>22</v>
      </c>
      <c r="H102">
        <v>46</v>
      </c>
      <c r="I102">
        <v>47</v>
      </c>
      <c r="J102">
        <v>18</v>
      </c>
      <c r="K102">
        <v>30</v>
      </c>
      <c r="L102">
        <v>0</v>
      </c>
      <c r="M102">
        <v>46</v>
      </c>
      <c r="N102">
        <v>22</v>
      </c>
      <c r="O102">
        <v>29</v>
      </c>
      <c r="P102">
        <v>15</v>
      </c>
      <c r="Q102">
        <v>13</v>
      </c>
      <c r="R102">
        <v>27</v>
      </c>
      <c r="S102">
        <v>41</v>
      </c>
      <c r="T102">
        <v>45</v>
      </c>
      <c r="U102">
        <v>30</v>
      </c>
      <c r="V102">
        <v>21</v>
      </c>
      <c r="W102">
        <v>11</v>
      </c>
      <c r="X102">
        <v>16</v>
      </c>
      <c r="Y102">
        <v>42</v>
      </c>
      <c r="Z102">
        <v>47</v>
      </c>
      <c r="AA102">
        <v>18</v>
      </c>
      <c r="AB102">
        <v>40</v>
      </c>
      <c r="AC102">
        <v>4</v>
      </c>
      <c r="AD102">
        <v>43</v>
      </c>
      <c r="AE102">
        <v>25</v>
      </c>
      <c r="AF102">
        <v>42</v>
      </c>
      <c r="AG102">
        <v>39</v>
      </c>
      <c r="AH102">
        <v>35</v>
      </c>
      <c r="AI102">
        <v>48</v>
      </c>
      <c r="AJ102">
        <v>45</v>
      </c>
      <c r="AK102">
        <v>33</v>
      </c>
      <c r="AL102">
        <v>25</v>
      </c>
      <c r="AM102">
        <v>45</v>
      </c>
      <c r="AN102">
        <v>38</v>
      </c>
      <c r="AO102">
        <v>0</v>
      </c>
      <c r="AP102">
        <v>47</v>
      </c>
      <c r="AQ102">
        <v>0</v>
      </c>
      <c r="AR102">
        <v>33</v>
      </c>
      <c r="AS102">
        <v>13</v>
      </c>
      <c r="AT102">
        <v>16</v>
      </c>
      <c r="AU102">
        <v>4</v>
      </c>
      <c r="AV102">
        <v>0</v>
      </c>
      <c r="AW102">
        <v>38</v>
      </c>
      <c r="AX102">
        <v>7</v>
      </c>
      <c r="AY102">
        <v>28</v>
      </c>
      <c r="AZ102">
        <v>44</v>
      </c>
      <c r="BA102">
        <v>15</v>
      </c>
      <c r="BB102">
        <v>12</v>
      </c>
      <c r="BC102">
        <v>40</v>
      </c>
      <c r="BD102">
        <v>17</v>
      </c>
      <c r="BE102">
        <v>25</v>
      </c>
      <c r="BF102">
        <v>84068</v>
      </c>
      <c r="BG102">
        <v>5005</v>
      </c>
    </row>
    <row r="103" spans="1:59" x14ac:dyDescent="0.3">
      <c r="A103" s="3">
        <v>45393</v>
      </c>
      <c r="B103" t="s">
        <v>63</v>
      </c>
      <c r="C103">
        <v>4</v>
      </c>
      <c r="D103">
        <v>716</v>
      </c>
      <c r="E103">
        <v>669</v>
      </c>
      <c r="F103">
        <v>43</v>
      </c>
      <c r="G103">
        <v>14</v>
      </c>
      <c r="H103">
        <v>36</v>
      </c>
      <c r="I103">
        <v>37</v>
      </c>
      <c r="J103">
        <v>48</v>
      </c>
      <c r="K103">
        <v>16</v>
      </c>
      <c r="L103">
        <v>25</v>
      </c>
      <c r="M103">
        <v>18</v>
      </c>
      <c r="N103">
        <v>26</v>
      </c>
      <c r="O103">
        <v>23</v>
      </c>
      <c r="P103">
        <v>37</v>
      </c>
      <c r="Q103">
        <v>12</v>
      </c>
      <c r="R103">
        <v>4</v>
      </c>
      <c r="S103">
        <v>0</v>
      </c>
      <c r="T103">
        <v>16</v>
      </c>
      <c r="U103">
        <v>12</v>
      </c>
      <c r="V103">
        <v>0</v>
      </c>
      <c r="W103">
        <v>5</v>
      </c>
      <c r="X103">
        <v>15</v>
      </c>
      <c r="Y103">
        <v>28</v>
      </c>
      <c r="Z103">
        <v>2</v>
      </c>
      <c r="AA103">
        <v>20</v>
      </c>
      <c r="AB103">
        <v>32</v>
      </c>
      <c r="AC103">
        <v>45</v>
      </c>
      <c r="AD103">
        <v>29</v>
      </c>
      <c r="AE103">
        <v>42</v>
      </c>
      <c r="AF103">
        <v>18</v>
      </c>
      <c r="AG103">
        <v>31</v>
      </c>
      <c r="AH103">
        <v>23</v>
      </c>
      <c r="AI103">
        <v>17</v>
      </c>
      <c r="AJ103">
        <v>16</v>
      </c>
      <c r="AK103">
        <v>4</v>
      </c>
      <c r="AL103">
        <v>44</v>
      </c>
      <c r="AM103">
        <v>8</v>
      </c>
      <c r="AN103">
        <v>47</v>
      </c>
      <c r="AO103">
        <v>32</v>
      </c>
      <c r="AP103">
        <v>46</v>
      </c>
      <c r="AQ103">
        <v>47</v>
      </c>
      <c r="AR103">
        <v>47</v>
      </c>
      <c r="AS103">
        <v>7</v>
      </c>
      <c r="AT103">
        <v>36</v>
      </c>
      <c r="AU103">
        <v>38</v>
      </c>
      <c r="AV103">
        <v>39</v>
      </c>
      <c r="AW103">
        <v>39</v>
      </c>
      <c r="AX103">
        <v>48</v>
      </c>
      <c r="AY103">
        <v>20</v>
      </c>
      <c r="AZ103">
        <v>44</v>
      </c>
      <c r="BA103">
        <v>45</v>
      </c>
      <c r="BB103">
        <v>48</v>
      </c>
      <c r="BC103">
        <v>11</v>
      </c>
      <c r="BD103">
        <v>47</v>
      </c>
      <c r="BE103">
        <v>22</v>
      </c>
      <c r="BF103">
        <v>84619</v>
      </c>
      <c r="BG103">
        <v>5017</v>
      </c>
    </row>
    <row r="104" spans="1:59" x14ac:dyDescent="0.3">
      <c r="A104" s="3">
        <v>45394</v>
      </c>
      <c r="B104" t="s">
        <v>63</v>
      </c>
      <c r="C104">
        <v>4</v>
      </c>
      <c r="D104">
        <v>717</v>
      </c>
      <c r="E104">
        <v>669</v>
      </c>
      <c r="F104">
        <v>18</v>
      </c>
      <c r="G104">
        <v>13</v>
      </c>
      <c r="H104">
        <v>27</v>
      </c>
      <c r="I104">
        <v>12</v>
      </c>
      <c r="J104">
        <v>8</v>
      </c>
      <c r="K104">
        <v>16</v>
      </c>
      <c r="L104">
        <v>11</v>
      </c>
      <c r="M104">
        <v>42</v>
      </c>
      <c r="N104">
        <v>20</v>
      </c>
      <c r="O104">
        <v>13</v>
      </c>
      <c r="P104">
        <v>38</v>
      </c>
      <c r="Q104">
        <v>4</v>
      </c>
      <c r="R104">
        <v>15</v>
      </c>
      <c r="S104">
        <v>23</v>
      </c>
      <c r="T104">
        <v>34</v>
      </c>
      <c r="U104">
        <v>5</v>
      </c>
      <c r="V104">
        <v>41</v>
      </c>
      <c r="W104">
        <v>41</v>
      </c>
      <c r="X104">
        <v>41</v>
      </c>
      <c r="Y104">
        <v>21</v>
      </c>
      <c r="Z104">
        <v>13</v>
      </c>
      <c r="AA104">
        <v>48</v>
      </c>
      <c r="AB104">
        <v>12</v>
      </c>
      <c r="AC104">
        <v>35</v>
      </c>
      <c r="AD104">
        <v>48</v>
      </c>
      <c r="AE104">
        <v>14</v>
      </c>
      <c r="AF104">
        <v>26</v>
      </c>
      <c r="AG104">
        <v>16</v>
      </c>
      <c r="AH104">
        <v>21</v>
      </c>
      <c r="AI104">
        <v>48</v>
      </c>
      <c r="AJ104">
        <v>15</v>
      </c>
      <c r="AK104">
        <v>9</v>
      </c>
      <c r="AL104">
        <v>44</v>
      </c>
      <c r="AM104">
        <v>15</v>
      </c>
      <c r="AN104">
        <v>21</v>
      </c>
      <c r="AO104">
        <v>2</v>
      </c>
      <c r="AP104">
        <v>33</v>
      </c>
      <c r="AQ104">
        <v>15</v>
      </c>
      <c r="AR104">
        <v>4</v>
      </c>
      <c r="AS104">
        <v>17</v>
      </c>
      <c r="AT104">
        <v>48</v>
      </c>
      <c r="AU104">
        <v>30</v>
      </c>
      <c r="AV104">
        <v>3</v>
      </c>
      <c r="AW104">
        <v>33</v>
      </c>
      <c r="AX104">
        <v>44</v>
      </c>
      <c r="AY104">
        <v>29</v>
      </c>
      <c r="AZ104">
        <v>15</v>
      </c>
      <c r="BA104">
        <v>31</v>
      </c>
      <c r="BB104">
        <v>17</v>
      </c>
      <c r="BC104">
        <v>23</v>
      </c>
      <c r="BD104">
        <v>17</v>
      </c>
      <c r="BE104">
        <v>18</v>
      </c>
      <c r="BF104">
        <v>85169</v>
      </c>
      <c r="BG104">
        <v>5029</v>
      </c>
    </row>
    <row r="105" spans="1:59" x14ac:dyDescent="0.3">
      <c r="A105" s="3">
        <v>45395</v>
      </c>
      <c r="B105" t="s">
        <v>63</v>
      </c>
      <c r="C105">
        <v>4</v>
      </c>
      <c r="D105">
        <v>719</v>
      </c>
      <c r="E105">
        <v>670</v>
      </c>
      <c r="F105">
        <v>42</v>
      </c>
      <c r="G105">
        <v>2</v>
      </c>
      <c r="H105">
        <v>4</v>
      </c>
      <c r="I105">
        <v>3</v>
      </c>
      <c r="J105">
        <v>19</v>
      </c>
      <c r="K105">
        <v>27</v>
      </c>
      <c r="L105">
        <v>45</v>
      </c>
      <c r="M105">
        <v>23</v>
      </c>
      <c r="N105">
        <v>0</v>
      </c>
      <c r="O105">
        <v>3</v>
      </c>
      <c r="P105">
        <v>7</v>
      </c>
      <c r="Q105">
        <v>19</v>
      </c>
      <c r="R105">
        <v>45</v>
      </c>
      <c r="S105">
        <v>3</v>
      </c>
      <c r="T105">
        <v>25</v>
      </c>
      <c r="U105">
        <v>15</v>
      </c>
      <c r="V105">
        <v>21</v>
      </c>
      <c r="W105">
        <v>31</v>
      </c>
      <c r="X105">
        <v>11</v>
      </c>
      <c r="Y105">
        <v>45</v>
      </c>
      <c r="Z105">
        <v>36</v>
      </c>
      <c r="AA105">
        <v>14</v>
      </c>
      <c r="AB105">
        <v>31</v>
      </c>
      <c r="AC105">
        <v>21</v>
      </c>
      <c r="AD105">
        <v>37</v>
      </c>
      <c r="AE105">
        <v>26</v>
      </c>
      <c r="AF105">
        <v>1</v>
      </c>
      <c r="AG105">
        <v>45</v>
      </c>
      <c r="AH105">
        <v>2</v>
      </c>
      <c r="AI105">
        <v>31</v>
      </c>
      <c r="AJ105">
        <v>44</v>
      </c>
      <c r="AK105">
        <v>23</v>
      </c>
      <c r="AL105">
        <v>47</v>
      </c>
      <c r="AM105">
        <v>47</v>
      </c>
      <c r="AN105">
        <v>15</v>
      </c>
      <c r="AO105">
        <v>15</v>
      </c>
      <c r="AP105">
        <v>19</v>
      </c>
      <c r="AQ105">
        <v>31</v>
      </c>
      <c r="AR105">
        <v>46</v>
      </c>
      <c r="AS105">
        <v>49</v>
      </c>
      <c r="AT105">
        <v>4</v>
      </c>
      <c r="AU105">
        <v>17</v>
      </c>
      <c r="AV105">
        <v>8</v>
      </c>
      <c r="AW105">
        <v>35</v>
      </c>
      <c r="AX105">
        <v>9</v>
      </c>
      <c r="AY105">
        <v>3</v>
      </c>
      <c r="AZ105">
        <v>40</v>
      </c>
      <c r="BA105">
        <v>13</v>
      </c>
      <c r="BB105">
        <v>36</v>
      </c>
      <c r="BC105">
        <v>23</v>
      </c>
      <c r="BD105">
        <v>8</v>
      </c>
      <c r="BE105">
        <v>24</v>
      </c>
      <c r="BF105">
        <v>85720</v>
      </c>
      <c r="BG105">
        <v>5041</v>
      </c>
    </row>
    <row r="106" spans="1:59" x14ac:dyDescent="0.3">
      <c r="A106" s="3">
        <v>45396</v>
      </c>
      <c r="B106" t="s">
        <v>63</v>
      </c>
      <c r="C106">
        <v>4</v>
      </c>
      <c r="D106">
        <v>720</v>
      </c>
      <c r="E106">
        <v>671</v>
      </c>
      <c r="F106">
        <v>49</v>
      </c>
      <c r="G106">
        <v>39</v>
      </c>
      <c r="H106">
        <v>10</v>
      </c>
      <c r="I106">
        <v>44</v>
      </c>
      <c r="J106">
        <v>23</v>
      </c>
      <c r="K106">
        <v>16</v>
      </c>
      <c r="L106">
        <v>9</v>
      </c>
      <c r="M106">
        <v>34</v>
      </c>
      <c r="N106">
        <v>1</v>
      </c>
      <c r="O106">
        <v>48</v>
      </c>
      <c r="P106">
        <v>49</v>
      </c>
      <c r="Q106">
        <v>19</v>
      </c>
      <c r="R106">
        <v>5</v>
      </c>
      <c r="S106">
        <v>31</v>
      </c>
      <c r="T106">
        <v>43</v>
      </c>
      <c r="U106">
        <v>6</v>
      </c>
      <c r="V106">
        <v>47</v>
      </c>
      <c r="W106">
        <v>47</v>
      </c>
      <c r="X106">
        <v>32</v>
      </c>
      <c r="Y106">
        <v>26</v>
      </c>
      <c r="Z106">
        <v>24</v>
      </c>
      <c r="AA106">
        <v>8</v>
      </c>
      <c r="AB106">
        <v>12</v>
      </c>
      <c r="AC106">
        <v>4</v>
      </c>
      <c r="AD106">
        <v>35</v>
      </c>
      <c r="AE106">
        <v>48</v>
      </c>
      <c r="AF106">
        <v>6</v>
      </c>
      <c r="AG106">
        <v>7</v>
      </c>
      <c r="AH106">
        <v>49</v>
      </c>
      <c r="AI106">
        <v>42</v>
      </c>
      <c r="AJ106">
        <v>12</v>
      </c>
      <c r="AK106">
        <v>9</v>
      </c>
      <c r="AL106">
        <v>26</v>
      </c>
      <c r="AM106">
        <v>15</v>
      </c>
      <c r="AN106">
        <v>42</v>
      </c>
      <c r="AO106">
        <v>33</v>
      </c>
      <c r="AP106">
        <v>19</v>
      </c>
      <c r="AQ106">
        <v>8</v>
      </c>
      <c r="AR106">
        <v>26</v>
      </c>
      <c r="AS106">
        <v>47</v>
      </c>
      <c r="AT106">
        <v>7</v>
      </c>
      <c r="AU106">
        <v>2</v>
      </c>
      <c r="AV106">
        <v>47</v>
      </c>
      <c r="AW106">
        <v>45</v>
      </c>
      <c r="AX106">
        <v>39</v>
      </c>
      <c r="AY106">
        <v>6</v>
      </c>
      <c r="AZ106">
        <v>39</v>
      </c>
      <c r="BA106">
        <v>3</v>
      </c>
      <c r="BB106">
        <v>23</v>
      </c>
      <c r="BC106">
        <v>47</v>
      </c>
      <c r="BD106">
        <v>25</v>
      </c>
      <c r="BE106">
        <v>39</v>
      </c>
      <c r="BF106">
        <v>86271</v>
      </c>
      <c r="BG106">
        <v>5053</v>
      </c>
    </row>
    <row r="107" spans="1:59" x14ac:dyDescent="0.3">
      <c r="A107" s="3">
        <v>45397</v>
      </c>
      <c r="B107" t="s">
        <v>63</v>
      </c>
      <c r="C107">
        <v>4</v>
      </c>
      <c r="D107">
        <v>722</v>
      </c>
      <c r="E107">
        <v>671</v>
      </c>
      <c r="F107">
        <v>16</v>
      </c>
      <c r="G107">
        <v>15</v>
      </c>
      <c r="H107">
        <v>38</v>
      </c>
      <c r="I107">
        <v>12</v>
      </c>
      <c r="J107">
        <v>0</v>
      </c>
      <c r="K107">
        <v>46</v>
      </c>
      <c r="L107">
        <v>28</v>
      </c>
      <c r="M107">
        <v>40</v>
      </c>
      <c r="N107">
        <v>30</v>
      </c>
      <c r="O107">
        <v>42</v>
      </c>
      <c r="P107">
        <v>8</v>
      </c>
      <c r="Q107">
        <v>22</v>
      </c>
      <c r="R107">
        <v>26</v>
      </c>
      <c r="S107">
        <v>36</v>
      </c>
      <c r="T107">
        <v>41</v>
      </c>
      <c r="U107">
        <v>3</v>
      </c>
      <c r="V107">
        <v>22</v>
      </c>
      <c r="W107">
        <v>22</v>
      </c>
      <c r="X107">
        <v>23</v>
      </c>
      <c r="Y107">
        <v>33</v>
      </c>
      <c r="Z107">
        <v>48</v>
      </c>
      <c r="AA107">
        <v>17</v>
      </c>
      <c r="AB107">
        <v>45</v>
      </c>
      <c r="AC107">
        <v>47</v>
      </c>
      <c r="AD107">
        <v>49</v>
      </c>
      <c r="AE107">
        <v>39</v>
      </c>
      <c r="AF107">
        <v>12</v>
      </c>
      <c r="AG107">
        <v>14</v>
      </c>
      <c r="AH107">
        <v>7</v>
      </c>
      <c r="AI107">
        <v>48</v>
      </c>
      <c r="AJ107">
        <v>27</v>
      </c>
      <c r="AK107">
        <v>46</v>
      </c>
      <c r="AL107">
        <v>5</v>
      </c>
      <c r="AM107">
        <v>25</v>
      </c>
      <c r="AN107">
        <v>12</v>
      </c>
      <c r="AO107">
        <v>20</v>
      </c>
      <c r="AP107">
        <v>26</v>
      </c>
      <c r="AQ107">
        <v>39</v>
      </c>
      <c r="AR107">
        <v>39</v>
      </c>
      <c r="AS107">
        <v>4</v>
      </c>
      <c r="AT107">
        <v>39</v>
      </c>
      <c r="AU107">
        <v>28</v>
      </c>
      <c r="AV107">
        <v>22</v>
      </c>
      <c r="AW107">
        <v>23</v>
      </c>
      <c r="AX107">
        <v>31</v>
      </c>
      <c r="AY107">
        <v>10</v>
      </c>
      <c r="AZ107">
        <v>1</v>
      </c>
      <c r="BA107">
        <v>17</v>
      </c>
      <c r="BB107">
        <v>29</v>
      </c>
      <c r="BC107">
        <v>38</v>
      </c>
      <c r="BD107">
        <v>13</v>
      </c>
      <c r="BE107">
        <v>31</v>
      </c>
      <c r="BF107">
        <v>86821</v>
      </c>
      <c r="BG107">
        <v>5065</v>
      </c>
    </row>
    <row r="108" spans="1:59" x14ac:dyDescent="0.3">
      <c r="A108" s="3">
        <v>45398</v>
      </c>
      <c r="B108" t="s">
        <v>63</v>
      </c>
      <c r="C108">
        <v>4</v>
      </c>
      <c r="D108">
        <v>724</v>
      </c>
      <c r="E108">
        <v>672</v>
      </c>
      <c r="F108">
        <v>4</v>
      </c>
      <c r="G108">
        <v>5</v>
      </c>
      <c r="H108">
        <v>35</v>
      </c>
      <c r="I108">
        <v>33</v>
      </c>
      <c r="J108">
        <v>33</v>
      </c>
      <c r="K108">
        <v>15</v>
      </c>
      <c r="L108">
        <v>33</v>
      </c>
      <c r="M108">
        <v>44</v>
      </c>
      <c r="N108">
        <v>14</v>
      </c>
      <c r="O108">
        <v>34</v>
      </c>
      <c r="P108">
        <v>13</v>
      </c>
      <c r="Q108">
        <v>31</v>
      </c>
      <c r="R108">
        <v>27</v>
      </c>
      <c r="S108">
        <v>41</v>
      </c>
      <c r="T108">
        <v>37</v>
      </c>
      <c r="U108">
        <v>26</v>
      </c>
      <c r="V108">
        <v>31</v>
      </c>
      <c r="W108">
        <v>20</v>
      </c>
      <c r="X108">
        <v>10</v>
      </c>
      <c r="Y108">
        <v>40</v>
      </c>
      <c r="Z108">
        <v>13</v>
      </c>
      <c r="AA108">
        <v>9</v>
      </c>
      <c r="AB108">
        <v>8</v>
      </c>
      <c r="AC108">
        <v>34</v>
      </c>
      <c r="AD108">
        <v>35</v>
      </c>
      <c r="AE108">
        <v>11</v>
      </c>
      <c r="AF108">
        <v>37</v>
      </c>
      <c r="AG108">
        <v>1</v>
      </c>
      <c r="AH108">
        <v>44</v>
      </c>
      <c r="AI108">
        <v>19</v>
      </c>
      <c r="AJ108">
        <v>15</v>
      </c>
      <c r="AK108">
        <v>42</v>
      </c>
      <c r="AL108">
        <v>24</v>
      </c>
      <c r="AM108">
        <v>43</v>
      </c>
      <c r="AN108">
        <v>22</v>
      </c>
      <c r="AO108">
        <v>17</v>
      </c>
      <c r="AP108">
        <v>32</v>
      </c>
      <c r="AQ108">
        <v>15</v>
      </c>
      <c r="AR108">
        <v>39</v>
      </c>
      <c r="AS108">
        <v>43</v>
      </c>
      <c r="AT108">
        <v>37</v>
      </c>
      <c r="AU108">
        <v>30</v>
      </c>
      <c r="AV108">
        <v>23</v>
      </c>
      <c r="AW108">
        <v>0</v>
      </c>
      <c r="AX108">
        <v>21</v>
      </c>
      <c r="AY108">
        <v>16</v>
      </c>
      <c r="AZ108">
        <v>40</v>
      </c>
      <c r="BA108">
        <v>4</v>
      </c>
      <c r="BB108">
        <v>17</v>
      </c>
      <c r="BC108">
        <v>49</v>
      </c>
      <c r="BD108">
        <v>23</v>
      </c>
      <c r="BE108">
        <v>17</v>
      </c>
      <c r="BF108">
        <v>87372</v>
      </c>
      <c r="BG108">
        <v>5077</v>
      </c>
    </row>
    <row r="109" spans="1:59" x14ac:dyDescent="0.3">
      <c r="A109" s="3">
        <v>45399</v>
      </c>
      <c r="B109" t="s">
        <v>63</v>
      </c>
      <c r="C109">
        <v>4</v>
      </c>
      <c r="D109">
        <v>725</v>
      </c>
      <c r="E109">
        <v>673</v>
      </c>
      <c r="F109">
        <v>17</v>
      </c>
      <c r="G109">
        <v>17</v>
      </c>
      <c r="H109">
        <v>14</v>
      </c>
      <c r="I109">
        <v>35</v>
      </c>
      <c r="J109">
        <v>12</v>
      </c>
      <c r="K109">
        <v>42</v>
      </c>
      <c r="L109">
        <v>39</v>
      </c>
      <c r="M109">
        <v>9</v>
      </c>
      <c r="N109">
        <v>10</v>
      </c>
      <c r="O109">
        <v>0</v>
      </c>
      <c r="P109">
        <v>2</v>
      </c>
      <c r="Q109">
        <v>36</v>
      </c>
      <c r="R109">
        <v>0</v>
      </c>
      <c r="S109">
        <v>38</v>
      </c>
      <c r="T109">
        <v>31</v>
      </c>
      <c r="U109">
        <v>48</v>
      </c>
      <c r="V109">
        <v>34</v>
      </c>
      <c r="W109">
        <v>15</v>
      </c>
      <c r="X109">
        <v>5</v>
      </c>
      <c r="Y109">
        <v>7</v>
      </c>
      <c r="Z109">
        <v>36</v>
      </c>
      <c r="AA109">
        <v>8</v>
      </c>
      <c r="AB109">
        <v>20</v>
      </c>
      <c r="AC109">
        <v>47</v>
      </c>
      <c r="AD109">
        <v>29</v>
      </c>
      <c r="AE109">
        <v>32</v>
      </c>
      <c r="AF109">
        <v>44</v>
      </c>
      <c r="AG109">
        <v>28</v>
      </c>
      <c r="AH109">
        <v>11</v>
      </c>
      <c r="AI109">
        <v>36</v>
      </c>
      <c r="AJ109">
        <v>28</v>
      </c>
      <c r="AK109">
        <v>22</v>
      </c>
      <c r="AL109">
        <v>26</v>
      </c>
      <c r="AM109">
        <v>8</v>
      </c>
      <c r="AN109">
        <v>29</v>
      </c>
      <c r="AO109">
        <v>9</v>
      </c>
      <c r="AP109">
        <v>18</v>
      </c>
      <c r="AQ109">
        <v>31</v>
      </c>
      <c r="AR109">
        <v>30</v>
      </c>
      <c r="AS109">
        <v>44</v>
      </c>
      <c r="AT109">
        <v>21</v>
      </c>
      <c r="AU109">
        <v>16</v>
      </c>
      <c r="AV109">
        <v>48</v>
      </c>
      <c r="AW109">
        <v>7</v>
      </c>
      <c r="AX109">
        <v>44</v>
      </c>
      <c r="AY109">
        <v>27</v>
      </c>
      <c r="AZ109">
        <v>21</v>
      </c>
      <c r="BA109">
        <v>0</v>
      </c>
      <c r="BB109">
        <v>9</v>
      </c>
      <c r="BC109">
        <v>33</v>
      </c>
      <c r="BD109">
        <v>29</v>
      </c>
      <c r="BE109">
        <v>14</v>
      </c>
      <c r="BF109">
        <v>87923</v>
      </c>
      <c r="BG109">
        <v>5089</v>
      </c>
    </row>
    <row r="110" spans="1:59" x14ac:dyDescent="0.3">
      <c r="A110" s="3">
        <v>45400</v>
      </c>
      <c r="B110" t="s">
        <v>63</v>
      </c>
      <c r="C110">
        <v>4</v>
      </c>
      <c r="D110">
        <v>727</v>
      </c>
      <c r="E110">
        <v>673</v>
      </c>
      <c r="F110">
        <v>25</v>
      </c>
      <c r="G110">
        <v>22</v>
      </c>
      <c r="H110">
        <v>33</v>
      </c>
      <c r="I110">
        <v>5</v>
      </c>
      <c r="J110">
        <v>9</v>
      </c>
      <c r="K110">
        <v>14</v>
      </c>
      <c r="L110">
        <v>39</v>
      </c>
      <c r="M110">
        <v>42</v>
      </c>
      <c r="N110">
        <v>35</v>
      </c>
      <c r="O110">
        <v>13</v>
      </c>
      <c r="P110">
        <v>2</v>
      </c>
      <c r="Q110">
        <v>32</v>
      </c>
      <c r="R110">
        <v>31</v>
      </c>
      <c r="S110">
        <v>3</v>
      </c>
      <c r="T110">
        <v>20</v>
      </c>
      <c r="U110">
        <v>40</v>
      </c>
      <c r="V110">
        <v>45</v>
      </c>
      <c r="W110">
        <v>18</v>
      </c>
      <c r="X110">
        <v>6</v>
      </c>
      <c r="Y110">
        <v>15</v>
      </c>
      <c r="Z110">
        <v>36</v>
      </c>
      <c r="AA110">
        <v>32</v>
      </c>
      <c r="AB110">
        <v>42</v>
      </c>
      <c r="AC110">
        <v>31</v>
      </c>
      <c r="AD110">
        <v>3</v>
      </c>
      <c r="AE110">
        <v>38</v>
      </c>
      <c r="AF110">
        <v>17</v>
      </c>
      <c r="AG110">
        <v>5</v>
      </c>
      <c r="AH110">
        <v>23</v>
      </c>
      <c r="AI110">
        <v>14</v>
      </c>
      <c r="AJ110">
        <v>44</v>
      </c>
      <c r="AK110">
        <v>4</v>
      </c>
      <c r="AL110">
        <v>32</v>
      </c>
      <c r="AM110">
        <v>17</v>
      </c>
      <c r="AN110">
        <v>26</v>
      </c>
      <c r="AO110">
        <v>29</v>
      </c>
      <c r="AP110">
        <v>18</v>
      </c>
      <c r="AQ110">
        <v>6</v>
      </c>
      <c r="AR110">
        <v>5</v>
      </c>
      <c r="AS110">
        <v>25</v>
      </c>
      <c r="AT110">
        <v>24</v>
      </c>
      <c r="AU110">
        <v>42</v>
      </c>
      <c r="AV110">
        <v>23</v>
      </c>
      <c r="AW110">
        <v>27</v>
      </c>
      <c r="AX110">
        <v>3</v>
      </c>
      <c r="AY110">
        <v>16</v>
      </c>
      <c r="AZ110">
        <v>36</v>
      </c>
      <c r="BA110">
        <v>31</v>
      </c>
      <c r="BB110">
        <v>12</v>
      </c>
      <c r="BC110">
        <v>41</v>
      </c>
      <c r="BD110">
        <v>6</v>
      </c>
      <c r="BE110">
        <v>44</v>
      </c>
      <c r="BF110">
        <v>88473</v>
      </c>
      <c r="BG110">
        <v>5101</v>
      </c>
    </row>
    <row r="111" spans="1:59" x14ac:dyDescent="0.3">
      <c r="A111" s="3">
        <v>45401</v>
      </c>
      <c r="B111" t="s">
        <v>63</v>
      </c>
      <c r="C111">
        <v>4</v>
      </c>
      <c r="D111">
        <v>729</v>
      </c>
      <c r="E111">
        <v>674</v>
      </c>
      <c r="F111">
        <v>46</v>
      </c>
      <c r="G111">
        <v>3</v>
      </c>
      <c r="H111">
        <v>24</v>
      </c>
      <c r="I111">
        <v>39</v>
      </c>
      <c r="J111">
        <v>19</v>
      </c>
      <c r="K111">
        <v>35</v>
      </c>
      <c r="L111">
        <v>1</v>
      </c>
      <c r="M111">
        <v>19</v>
      </c>
      <c r="N111">
        <v>18</v>
      </c>
      <c r="O111">
        <v>15</v>
      </c>
      <c r="P111">
        <v>10</v>
      </c>
      <c r="Q111">
        <v>33</v>
      </c>
      <c r="R111">
        <v>27</v>
      </c>
      <c r="S111">
        <v>47</v>
      </c>
      <c r="T111">
        <v>45</v>
      </c>
      <c r="U111">
        <v>22</v>
      </c>
      <c r="V111">
        <v>38</v>
      </c>
      <c r="W111">
        <v>24</v>
      </c>
      <c r="X111">
        <v>18</v>
      </c>
      <c r="Y111">
        <v>23</v>
      </c>
      <c r="Z111">
        <v>12</v>
      </c>
      <c r="AA111">
        <v>14</v>
      </c>
      <c r="AB111">
        <v>3</v>
      </c>
      <c r="AC111">
        <v>43</v>
      </c>
      <c r="AD111">
        <v>37</v>
      </c>
      <c r="AE111">
        <v>31</v>
      </c>
      <c r="AF111">
        <v>44</v>
      </c>
      <c r="AG111">
        <v>1</v>
      </c>
      <c r="AH111">
        <v>31</v>
      </c>
      <c r="AI111">
        <v>49</v>
      </c>
      <c r="AJ111">
        <v>30</v>
      </c>
      <c r="AK111">
        <v>27</v>
      </c>
      <c r="AL111">
        <v>12</v>
      </c>
      <c r="AM111">
        <v>32</v>
      </c>
      <c r="AN111">
        <v>17</v>
      </c>
      <c r="AO111">
        <v>39</v>
      </c>
      <c r="AP111">
        <v>41</v>
      </c>
      <c r="AQ111">
        <v>22</v>
      </c>
      <c r="AR111">
        <v>17</v>
      </c>
      <c r="AS111">
        <v>15</v>
      </c>
      <c r="AT111">
        <v>46</v>
      </c>
      <c r="AU111">
        <v>5</v>
      </c>
      <c r="AV111">
        <v>10</v>
      </c>
      <c r="AW111">
        <v>39</v>
      </c>
      <c r="AX111">
        <v>21</v>
      </c>
      <c r="AY111">
        <v>45</v>
      </c>
      <c r="AZ111">
        <v>3</v>
      </c>
      <c r="BA111">
        <v>4</v>
      </c>
      <c r="BB111">
        <v>41</v>
      </c>
      <c r="BC111">
        <v>32</v>
      </c>
      <c r="BD111">
        <v>48</v>
      </c>
      <c r="BE111">
        <v>44</v>
      </c>
      <c r="BF111">
        <v>89024</v>
      </c>
      <c r="BG111">
        <v>5113</v>
      </c>
    </row>
    <row r="112" spans="1:59" x14ac:dyDescent="0.3">
      <c r="A112" s="3">
        <v>45402</v>
      </c>
      <c r="B112" t="s">
        <v>63</v>
      </c>
      <c r="C112">
        <v>4</v>
      </c>
      <c r="D112">
        <v>730</v>
      </c>
      <c r="E112">
        <v>675</v>
      </c>
      <c r="F112">
        <v>19</v>
      </c>
      <c r="G112">
        <v>20</v>
      </c>
      <c r="H112">
        <v>29</v>
      </c>
      <c r="I112">
        <v>35</v>
      </c>
      <c r="J112">
        <v>10</v>
      </c>
      <c r="K112">
        <v>17</v>
      </c>
      <c r="L112">
        <v>18</v>
      </c>
      <c r="M112">
        <v>2</v>
      </c>
      <c r="N112">
        <v>36</v>
      </c>
      <c r="O112">
        <v>15</v>
      </c>
      <c r="P112">
        <v>33</v>
      </c>
      <c r="Q112">
        <v>29</v>
      </c>
      <c r="R112">
        <v>10</v>
      </c>
      <c r="S112">
        <v>47</v>
      </c>
      <c r="T112">
        <v>39</v>
      </c>
      <c r="U112">
        <v>39</v>
      </c>
      <c r="V112">
        <v>2</v>
      </c>
      <c r="W112">
        <v>28</v>
      </c>
      <c r="X112">
        <v>41</v>
      </c>
      <c r="Y112">
        <v>35</v>
      </c>
      <c r="Z112">
        <v>13</v>
      </c>
      <c r="AA112">
        <v>23</v>
      </c>
      <c r="AB112">
        <v>5</v>
      </c>
      <c r="AC112">
        <v>29</v>
      </c>
      <c r="AD112">
        <v>3</v>
      </c>
      <c r="AE112">
        <v>46</v>
      </c>
      <c r="AF112">
        <v>15</v>
      </c>
      <c r="AG112">
        <v>16</v>
      </c>
      <c r="AH112">
        <v>47</v>
      </c>
      <c r="AI112">
        <v>32</v>
      </c>
      <c r="AJ112">
        <v>8</v>
      </c>
      <c r="AK112">
        <v>36</v>
      </c>
      <c r="AL112">
        <v>48</v>
      </c>
      <c r="AM112">
        <v>32</v>
      </c>
      <c r="AN112">
        <v>43</v>
      </c>
      <c r="AO112">
        <v>45</v>
      </c>
      <c r="AP112">
        <v>21</v>
      </c>
      <c r="AQ112">
        <v>39</v>
      </c>
      <c r="AR112">
        <v>36</v>
      </c>
      <c r="AS112">
        <v>1</v>
      </c>
      <c r="AT112">
        <v>27</v>
      </c>
      <c r="AU112">
        <v>46</v>
      </c>
      <c r="AV112">
        <v>14</v>
      </c>
      <c r="AW112">
        <v>8</v>
      </c>
      <c r="AX112">
        <v>9</v>
      </c>
      <c r="AY112">
        <v>14</v>
      </c>
      <c r="AZ112">
        <v>21</v>
      </c>
      <c r="BA112">
        <v>36</v>
      </c>
      <c r="BB112">
        <v>24</v>
      </c>
      <c r="BC112">
        <v>0</v>
      </c>
      <c r="BD112">
        <v>12</v>
      </c>
      <c r="BE112">
        <v>7</v>
      </c>
      <c r="BF112">
        <v>89575</v>
      </c>
      <c r="BG112">
        <v>5126</v>
      </c>
    </row>
    <row r="113" spans="1:59" x14ac:dyDescent="0.3">
      <c r="A113" s="3">
        <v>45403</v>
      </c>
      <c r="B113" t="s">
        <v>63</v>
      </c>
      <c r="C113">
        <v>4</v>
      </c>
      <c r="D113">
        <v>732</v>
      </c>
      <c r="E113">
        <v>676</v>
      </c>
      <c r="F113">
        <v>1</v>
      </c>
      <c r="G113">
        <v>10</v>
      </c>
      <c r="H113">
        <v>1</v>
      </c>
      <c r="I113">
        <v>43</v>
      </c>
      <c r="J113">
        <v>26</v>
      </c>
      <c r="K113">
        <v>2</v>
      </c>
      <c r="L113">
        <v>19</v>
      </c>
      <c r="M113">
        <v>29</v>
      </c>
      <c r="N113">
        <v>37</v>
      </c>
      <c r="O113">
        <v>5</v>
      </c>
      <c r="P113">
        <v>29</v>
      </c>
      <c r="Q113">
        <v>40</v>
      </c>
      <c r="R113">
        <v>39</v>
      </c>
      <c r="S113">
        <v>5</v>
      </c>
      <c r="T113">
        <v>27</v>
      </c>
      <c r="U113">
        <v>39</v>
      </c>
      <c r="V113">
        <v>27</v>
      </c>
      <c r="W113">
        <v>32</v>
      </c>
      <c r="X113">
        <v>29</v>
      </c>
      <c r="Y113">
        <v>2</v>
      </c>
      <c r="Z113">
        <v>39</v>
      </c>
      <c r="AA113">
        <v>21</v>
      </c>
      <c r="AB113">
        <v>44</v>
      </c>
      <c r="AC113">
        <v>32</v>
      </c>
      <c r="AD113">
        <v>4</v>
      </c>
      <c r="AE113">
        <v>49</v>
      </c>
      <c r="AF113">
        <v>20</v>
      </c>
      <c r="AG113">
        <v>12</v>
      </c>
      <c r="AH113">
        <v>46</v>
      </c>
      <c r="AI113">
        <v>4</v>
      </c>
      <c r="AJ113">
        <v>41</v>
      </c>
      <c r="AK113">
        <v>5</v>
      </c>
      <c r="AL113">
        <v>46</v>
      </c>
      <c r="AM113">
        <v>10</v>
      </c>
      <c r="AN113">
        <v>20</v>
      </c>
      <c r="AO113">
        <v>21</v>
      </c>
      <c r="AP113">
        <v>19</v>
      </c>
      <c r="AQ113">
        <v>36</v>
      </c>
      <c r="AR113">
        <v>28</v>
      </c>
      <c r="AS113">
        <v>31</v>
      </c>
      <c r="AT113">
        <v>14</v>
      </c>
      <c r="AU113">
        <v>14</v>
      </c>
      <c r="AV113">
        <v>30</v>
      </c>
      <c r="AW113">
        <v>23</v>
      </c>
      <c r="AX113">
        <v>48</v>
      </c>
      <c r="AY113">
        <v>19</v>
      </c>
      <c r="AZ113">
        <v>37</v>
      </c>
      <c r="BA113">
        <v>36</v>
      </c>
      <c r="BB113">
        <v>3</v>
      </c>
      <c r="BC113">
        <v>43</v>
      </c>
      <c r="BD113">
        <v>34</v>
      </c>
      <c r="BE113">
        <v>47</v>
      </c>
      <c r="BF113">
        <v>90126</v>
      </c>
      <c r="BG113">
        <v>5138</v>
      </c>
    </row>
    <row r="114" spans="1:59" x14ac:dyDescent="0.3">
      <c r="A114" s="3">
        <v>45404</v>
      </c>
      <c r="B114" t="s">
        <v>63</v>
      </c>
      <c r="C114">
        <v>4</v>
      </c>
      <c r="D114">
        <v>734</v>
      </c>
      <c r="E114">
        <v>676</v>
      </c>
      <c r="F114">
        <v>39</v>
      </c>
      <c r="G114">
        <v>22</v>
      </c>
      <c r="H114">
        <v>25</v>
      </c>
      <c r="I114">
        <v>34</v>
      </c>
      <c r="J114">
        <v>45</v>
      </c>
      <c r="K114">
        <v>5</v>
      </c>
      <c r="L114">
        <v>0</v>
      </c>
      <c r="M114">
        <v>2</v>
      </c>
      <c r="N114">
        <v>31</v>
      </c>
      <c r="O114">
        <v>19</v>
      </c>
      <c r="P114">
        <v>43</v>
      </c>
      <c r="Q114">
        <v>29</v>
      </c>
      <c r="R114">
        <v>13</v>
      </c>
      <c r="S114">
        <v>24</v>
      </c>
      <c r="T114">
        <v>15</v>
      </c>
      <c r="U114">
        <v>9</v>
      </c>
      <c r="V114">
        <v>45</v>
      </c>
      <c r="W114">
        <v>27</v>
      </c>
      <c r="X114">
        <v>21</v>
      </c>
      <c r="Y114">
        <v>3</v>
      </c>
      <c r="Z114">
        <v>14</v>
      </c>
      <c r="AA114">
        <v>11</v>
      </c>
      <c r="AB114">
        <v>6</v>
      </c>
      <c r="AC114">
        <v>43</v>
      </c>
      <c r="AD114">
        <v>22</v>
      </c>
      <c r="AE114">
        <v>20</v>
      </c>
      <c r="AF114">
        <v>16</v>
      </c>
      <c r="AG114">
        <v>12</v>
      </c>
      <c r="AH114">
        <v>31</v>
      </c>
      <c r="AI114">
        <v>29</v>
      </c>
      <c r="AJ114">
        <v>43</v>
      </c>
      <c r="AK114">
        <v>44</v>
      </c>
      <c r="AL114">
        <v>46</v>
      </c>
      <c r="AM114">
        <v>10</v>
      </c>
      <c r="AN114">
        <v>21</v>
      </c>
      <c r="AO114">
        <v>21</v>
      </c>
      <c r="AP114">
        <v>16</v>
      </c>
      <c r="AQ114">
        <v>43</v>
      </c>
      <c r="AR114">
        <v>46</v>
      </c>
      <c r="AS114">
        <v>48</v>
      </c>
      <c r="AT114">
        <v>11</v>
      </c>
      <c r="AU114">
        <v>32</v>
      </c>
      <c r="AV114">
        <v>9</v>
      </c>
      <c r="AW114">
        <v>19</v>
      </c>
      <c r="AX114">
        <v>10</v>
      </c>
      <c r="AY114">
        <v>44</v>
      </c>
      <c r="AZ114">
        <v>17</v>
      </c>
      <c r="BA114">
        <v>22</v>
      </c>
      <c r="BB114">
        <v>49</v>
      </c>
      <c r="BC114">
        <v>47</v>
      </c>
      <c r="BD114">
        <v>10</v>
      </c>
      <c r="BE114">
        <v>8</v>
      </c>
      <c r="BF114">
        <v>90676</v>
      </c>
      <c r="BG114">
        <v>5150</v>
      </c>
    </row>
    <row r="115" spans="1:59" x14ac:dyDescent="0.3">
      <c r="A115" s="3">
        <v>45405</v>
      </c>
      <c r="B115" t="s">
        <v>63</v>
      </c>
      <c r="C115">
        <v>4</v>
      </c>
      <c r="D115">
        <v>735</v>
      </c>
      <c r="E115">
        <v>677</v>
      </c>
      <c r="F115">
        <v>30</v>
      </c>
      <c r="G115">
        <v>27</v>
      </c>
      <c r="H115">
        <v>8</v>
      </c>
      <c r="I115">
        <v>13</v>
      </c>
      <c r="J115">
        <v>42</v>
      </c>
      <c r="K115">
        <v>16</v>
      </c>
      <c r="L115">
        <v>33</v>
      </c>
      <c r="M115">
        <v>43</v>
      </c>
      <c r="N115">
        <v>12</v>
      </c>
      <c r="O115">
        <v>26</v>
      </c>
      <c r="P115">
        <v>17</v>
      </c>
      <c r="Q115">
        <v>22</v>
      </c>
      <c r="R115">
        <v>10</v>
      </c>
      <c r="S115">
        <v>10</v>
      </c>
      <c r="T115">
        <v>4</v>
      </c>
      <c r="U115">
        <v>9</v>
      </c>
      <c r="V115">
        <v>7</v>
      </c>
      <c r="W115">
        <v>39</v>
      </c>
      <c r="X115">
        <v>24</v>
      </c>
      <c r="Y115">
        <v>39</v>
      </c>
      <c r="Z115">
        <v>9</v>
      </c>
      <c r="AA115">
        <v>4</v>
      </c>
      <c r="AB115">
        <v>16</v>
      </c>
      <c r="AC115">
        <v>24</v>
      </c>
      <c r="AD115">
        <v>7</v>
      </c>
      <c r="AE115">
        <v>4</v>
      </c>
      <c r="AF115">
        <v>8</v>
      </c>
      <c r="AG115">
        <v>16</v>
      </c>
      <c r="AH115">
        <v>47</v>
      </c>
      <c r="AI115">
        <v>46</v>
      </c>
      <c r="AJ115">
        <v>45</v>
      </c>
      <c r="AK115">
        <v>9</v>
      </c>
      <c r="AL115">
        <v>11</v>
      </c>
      <c r="AM115">
        <v>35</v>
      </c>
      <c r="AN115">
        <v>32</v>
      </c>
      <c r="AO115">
        <v>22</v>
      </c>
      <c r="AP115">
        <v>23</v>
      </c>
      <c r="AQ115">
        <v>9</v>
      </c>
      <c r="AR115">
        <v>36</v>
      </c>
      <c r="AS115">
        <v>1</v>
      </c>
      <c r="AT115">
        <v>20</v>
      </c>
      <c r="AU115">
        <v>49</v>
      </c>
      <c r="AV115">
        <v>36</v>
      </c>
      <c r="AW115">
        <v>30</v>
      </c>
      <c r="AX115">
        <v>23</v>
      </c>
      <c r="AY115">
        <v>10</v>
      </c>
      <c r="AZ115">
        <v>16</v>
      </c>
      <c r="BA115">
        <v>20</v>
      </c>
      <c r="BB115">
        <v>17</v>
      </c>
      <c r="BC115">
        <v>5</v>
      </c>
      <c r="BD115">
        <v>20</v>
      </c>
      <c r="BE115">
        <v>17</v>
      </c>
      <c r="BF115">
        <v>91227</v>
      </c>
      <c r="BG115">
        <v>5162</v>
      </c>
    </row>
    <row r="116" spans="1:59" x14ac:dyDescent="0.3">
      <c r="A116" s="3">
        <v>45406</v>
      </c>
      <c r="B116" t="s">
        <v>63</v>
      </c>
      <c r="C116">
        <v>4</v>
      </c>
      <c r="D116">
        <v>737</v>
      </c>
      <c r="E116">
        <v>678</v>
      </c>
      <c r="F116">
        <v>2</v>
      </c>
      <c r="G116">
        <v>17</v>
      </c>
      <c r="H116">
        <v>23</v>
      </c>
      <c r="I116">
        <v>10</v>
      </c>
      <c r="J116">
        <v>12</v>
      </c>
      <c r="K116">
        <v>30</v>
      </c>
      <c r="L116">
        <v>31</v>
      </c>
      <c r="M116">
        <v>45</v>
      </c>
      <c r="N116">
        <v>30</v>
      </c>
      <c r="O116">
        <v>7</v>
      </c>
      <c r="P116">
        <v>17</v>
      </c>
      <c r="Q116">
        <v>32</v>
      </c>
      <c r="R116">
        <v>15</v>
      </c>
      <c r="S116">
        <v>16</v>
      </c>
      <c r="T116">
        <v>35</v>
      </c>
      <c r="U116">
        <v>46</v>
      </c>
      <c r="V116">
        <v>3</v>
      </c>
      <c r="W116">
        <v>40</v>
      </c>
      <c r="X116">
        <v>30</v>
      </c>
      <c r="Y116">
        <v>27</v>
      </c>
      <c r="Z116">
        <v>4</v>
      </c>
      <c r="AA116">
        <v>28</v>
      </c>
      <c r="AB116">
        <v>31</v>
      </c>
      <c r="AC116">
        <v>46</v>
      </c>
      <c r="AD116">
        <v>10</v>
      </c>
      <c r="AE116">
        <v>22</v>
      </c>
      <c r="AF116">
        <v>39</v>
      </c>
      <c r="AG116">
        <v>45</v>
      </c>
      <c r="AH116">
        <v>1</v>
      </c>
      <c r="AI116">
        <v>13</v>
      </c>
      <c r="AJ116">
        <v>26</v>
      </c>
      <c r="AK116">
        <v>39</v>
      </c>
      <c r="AL116">
        <v>30</v>
      </c>
      <c r="AM116">
        <v>16</v>
      </c>
      <c r="AN116">
        <v>40</v>
      </c>
      <c r="AO116">
        <v>36</v>
      </c>
      <c r="AP116">
        <v>12</v>
      </c>
      <c r="AQ116">
        <v>23</v>
      </c>
      <c r="AR116">
        <v>6</v>
      </c>
      <c r="AS116">
        <v>44</v>
      </c>
      <c r="AT116">
        <v>43</v>
      </c>
      <c r="AU116">
        <v>22</v>
      </c>
      <c r="AV116">
        <v>46</v>
      </c>
      <c r="AW116">
        <v>44</v>
      </c>
      <c r="AX116">
        <v>39</v>
      </c>
      <c r="AY116">
        <v>47</v>
      </c>
      <c r="AZ116">
        <v>38</v>
      </c>
      <c r="BA116">
        <v>19</v>
      </c>
      <c r="BB116">
        <v>9</v>
      </c>
      <c r="BC116">
        <v>14</v>
      </c>
      <c r="BD116">
        <v>11</v>
      </c>
      <c r="BE116">
        <v>18</v>
      </c>
      <c r="BF116">
        <v>91778</v>
      </c>
      <c r="BG116">
        <v>5174</v>
      </c>
    </row>
    <row r="117" spans="1:59" x14ac:dyDescent="0.3">
      <c r="A117" s="3">
        <v>45407</v>
      </c>
      <c r="B117" t="s">
        <v>63</v>
      </c>
      <c r="C117">
        <v>4</v>
      </c>
      <c r="D117">
        <v>739</v>
      </c>
      <c r="E117">
        <v>678</v>
      </c>
      <c r="F117">
        <v>29</v>
      </c>
      <c r="G117">
        <v>10</v>
      </c>
      <c r="H117">
        <v>49</v>
      </c>
      <c r="I117">
        <v>17</v>
      </c>
      <c r="J117">
        <v>41</v>
      </c>
      <c r="K117">
        <v>24</v>
      </c>
      <c r="L117">
        <v>33</v>
      </c>
      <c r="M117">
        <v>35</v>
      </c>
      <c r="N117">
        <v>0</v>
      </c>
      <c r="O117">
        <v>31</v>
      </c>
      <c r="P117">
        <v>36</v>
      </c>
      <c r="Q117">
        <v>47</v>
      </c>
      <c r="R117">
        <v>24</v>
      </c>
      <c r="S117">
        <v>45</v>
      </c>
      <c r="T117">
        <v>45</v>
      </c>
      <c r="U117">
        <v>49</v>
      </c>
      <c r="V117">
        <v>14</v>
      </c>
      <c r="W117">
        <v>1</v>
      </c>
      <c r="X117">
        <v>11</v>
      </c>
      <c r="Y117">
        <v>8</v>
      </c>
      <c r="Z117">
        <v>3</v>
      </c>
      <c r="AA117">
        <v>25</v>
      </c>
      <c r="AB117">
        <v>26</v>
      </c>
      <c r="AC117">
        <v>33</v>
      </c>
      <c r="AD117">
        <v>7</v>
      </c>
      <c r="AE117">
        <v>27</v>
      </c>
      <c r="AF117">
        <v>35</v>
      </c>
      <c r="AG117">
        <v>37</v>
      </c>
      <c r="AH117">
        <v>41</v>
      </c>
      <c r="AI117">
        <v>21</v>
      </c>
      <c r="AJ117">
        <v>14</v>
      </c>
      <c r="AK117">
        <v>34</v>
      </c>
      <c r="AL117">
        <v>28</v>
      </c>
      <c r="AM117">
        <v>17</v>
      </c>
      <c r="AN117">
        <v>43</v>
      </c>
      <c r="AO117">
        <v>13</v>
      </c>
      <c r="AP117">
        <v>19</v>
      </c>
      <c r="AQ117">
        <v>5</v>
      </c>
      <c r="AR117">
        <v>8</v>
      </c>
      <c r="AS117">
        <v>41</v>
      </c>
      <c r="AT117">
        <v>13</v>
      </c>
      <c r="AU117">
        <v>7</v>
      </c>
      <c r="AV117">
        <v>35</v>
      </c>
      <c r="AW117">
        <v>4</v>
      </c>
      <c r="AX117">
        <v>44</v>
      </c>
      <c r="AY117">
        <v>9</v>
      </c>
      <c r="AZ117">
        <v>30</v>
      </c>
      <c r="BA117">
        <v>42</v>
      </c>
      <c r="BB117">
        <v>33</v>
      </c>
      <c r="BC117">
        <v>32</v>
      </c>
      <c r="BD117">
        <v>31</v>
      </c>
      <c r="BE117">
        <v>36</v>
      </c>
      <c r="BF117">
        <v>92328</v>
      </c>
      <c r="BG117">
        <v>5186</v>
      </c>
    </row>
    <row r="118" spans="1:59" x14ac:dyDescent="0.3">
      <c r="A118" s="3">
        <v>45408</v>
      </c>
      <c r="B118" t="s">
        <v>63</v>
      </c>
      <c r="C118">
        <v>4</v>
      </c>
      <c r="D118">
        <v>740</v>
      </c>
      <c r="E118">
        <v>679</v>
      </c>
      <c r="F118">
        <v>41</v>
      </c>
      <c r="G118">
        <v>9</v>
      </c>
      <c r="H118">
        <v>2</v>
      </c>
      <c r="I118">
        <v>1</v>
      </c>
      <c r="J118">
        <v>48</v>
      </c>
      <c r="K118">
        <v>1</v>
      </c>
      <c r="L118">
        <v>25</v>
      </c>
      <c r="M118">
        <v>49</v>
      </c>
      <c r="N118">
        <v>27</v>
      </c>
      <c r="O118">
        <v>40</v>
      </c>
      <c r="P118">
        <v>3</v>
      </c>
      <c r="Q118">
        <v>16</v>
      </c>
      <c r="R118">
        <v>11</v>
      </c>
      <c r="S118">
        <v>11</v>
      </c>
      <c r="T118">
        <v>48</v>
      </c>
      <c r="U118">
        <v>48</v>
      </c>
      <c r="V118">
        <v>20</v>
      </c>
      <c r="W118">
        <v>2</v>
      </c>
      <c r="X118">
        <v>33</v>
      </c>
      <c r="Y118">
        <v>24</v>
      </c>
      <c r="Z118">
        <v>23</v>
      </c>
      <c r="AA118">
        <v>27</v>
      </c>
      <c r="AB118">
        <v>37</v>
      </c>
      <c r="AC118">
        <v>30</v>
      </c>
      <c r="AD118">
        <v>29</v>
      </c>
      <c r="AE118">
        <v>5</v>
      </c>
      <c r="AF118">
        <v>24</v>
      </c>
      <c r="AG118">
        <v>2</v>
      </c>
      <c r="AH118">
        <v>40</v>
      </c>
      <c r="AI118">
        <v>11</v>
      </c>
      <c r="AJ118">
        <v>15</v>
      </c>
      <c r="AK118">
        <v>38</v>
      </c>
      <c r="AL118">
        <v>37</v>
      </c>
      <c r="AM118">
        <v>17</v>
      </c>
      <c r="AN118">
        <v>45</v>
      </c>
      <c r="AO118">
        <v>46</v>
      </c>
      <c r="AP118">
        <v>45</v>
      </c>
      <c r="AQ118">
        <v>2</v>
      </c>
      <c r="AR118">
        <v>33</v>
      </c>
      <c r="AS118">
        <v>3</v>
      </c>
      <c r="AT118">
        <v>45</v>
      </c>
      <c r="AU118">
        <v>28</v>
      </c>
      <c r="AV118">
        <v>36</v>
      </c>
      <c r="AW118">
        <v>7</v>
      </c>
      <c r="AX118">
        <v>49</v>
      </c>
      <c r="AY118">
        <v>22</v>
      </c>
      <c r="AZ118">
        <v>29</v>
      </c>
      <c r="BA118">
        <v>18</v>
      </c>
      <c r="BB118">
        <v>41</v>
      </c>
      <c r="BC118">
        <v>2</v>
      </c>
      <c r="BD118">
        <v>18</v>
      </c>
      <c r="BE118">
        <v>12</v>
      </c>
      <c r="BF118">
        <v>92879</v>
      </c>
      <c r="BG118">
        <v>5198</v>
      </c>
    </row>
    <row r="119" spans="1:59" x14ac:dyDescent="0.3">
      <c r="A119" s="3">
        <v>45409</v>
      </c>
      <c r="B119" t="s">
        <v>63</v>
      </c>
      <c r="C119">
        <v>4</v>
      </c>
      <c r="D119">
        <v>742</v>
      </c>
      <c r="E119">
        <v>680</v>
      </c>
      <c r="F119">
        <v>4</v>
      </c>
      <c r="G119">
        <v>8</v>
      </c>
      <c r="H119">
        <v>42</v>
      </c>
      <c r="I119">
        <v>21</v>
      </c>
      <c r="J119">
        <v>23</v>
      </c>
      <c r="K119">
        <v>5</v>
      </c>
      <c r="L119">
        <v>33</v>
      </c>
      <c r="M119">
        <v>5</v>
      </c>
      <c r="N119">
        <v>47</v>
      </c>
      <c r="O119">
        <v>13</v>
      </c>
      <c r="P119">
        <v>19</v>
      </c>
      <c r="Q119">
        <v>38</v>
      </c>
      <c r="R119">
        <v>25</v>
      </c>
      <c r="S119">
        <v>2</v>
      </c>
      <c r="T119">
        <v>35</v>
      </c>
      <c r="U119">
        <v>10</v>
      </c>
      <c r="V119">
        <v>49</v>
      </c>
      <c r="W119">
        <v>23</v>
      </c>
      <c r="X119">
        <v>40</v>
      </c>
      <c r="Y119">
        <v>20</v>
      </c>
      <c r="Z119">
        <v>33</v>
      </c>
      <c r="AA119">
        <v>33</v>
      </c>
      <c r="AB119">
        <v>40</v>
      </c>
      <c r="AC119">
        <v>8</v>
      </c>
      <c r="AD119">
        <v>19</v>
      </c>
      <c r="AE119">
        <v>35</v>
      </c>
      <c r="AF119">
        <v>28</v>
      </c>
      <c r="AG119">
        <v>16</v>
      </c>
      <c r="AH119">
        <v>18</v>
      </c>
      <c r="AI119">
        <v>4</v>
      </c>
      <c r="AJ119">
        <v>42</v>
      </c>
      <c r="AK119">
        <v>26</v>
      </c>
      <c r="AL119">
        <v>17</v>
      </c>
      <c r="AM119">
        <v>19</v>
      </c>
      <c r="AN119">
        <v>43</v>
      </c>
      <c r="AO119">
        <v>46</v>
      </c>
      <c r="AP119">
        <v>24</v>
      </c>
      <c r="AQ119">
        <v>10</v>
      </c>
      <c r="AR119">
        <v>20</v>
      </c>
      <c r="AS119">
        <v>12</v>
      </c>
      <c r="AT119">
        <v>47</v>
      </c>
      <c r="AU119">
        <v>1</v>
      </c>
      <c r="AV119">
        <v>46</v>
      </c>
      <c r="AW119">
        <v>4</v>
      </c>
      <c r="AX119">
        <v>40</v>
      </c>
      <c r="AY119">
        <v>2</v>
      </c>
      <c r="AZ119">
        <v>40</v>
      </c>
      <c r="BA119">
        <v>1</v>
      </c>
      <c r="BB119">
        <v>16</v>
      </c>
      <c r="BC119">
        <v>47</v>
      </c>
      <c r="BD119">
        <v>31</v>
      </c>
      <c r="BE119">
        <v>15</v>
      </c>
      <c r="BF119">
        <v>93430</v>
      </c>
      <c r="BG119">
        <v>5210</v>
      </c>
    </row>
    <row r="120" spans="1:59" x14ac:dyDescent="0.3">
      <c r="A120" s="3">
        <v>45410</v>
      </c>
      <c r="B120" t="s">
        <v>63</v>
      </c>
      <c r="C120">
        <v>4</v>
      </c>
      <c r="D120">
        <v>743</v>
      </c>
      <c r="E120">
        <v>680</v>
      </c>
      <c r="F120">
        <v>2</v>
      </c>
      <c r="G120">
        <v>45</v>
      </c>
      <c r="H120">
        <v>40</v>
      </c>
      <c r="I120">
        <v>19</v>
      </c>
      <c r="J120">
        <v>11</v>
      </c>
      <c r="K120">
        <v>24</v>
      </c>
      <c r="L120">
        <v>48</v>
      </c>
      <c r="M120">
        <v>38</v>
      </c>
      <c r="N120">
        <v>22</v>
      </c>
      <c r="O120">
        <v>32</v>
      </c>
      <c r="P120">
        <v>47</v>
      </c>
      <c r="Q120">
        <v>33</v>
      </c>
      <c r="R120">
        <v>30</v>
      </c>
      <c r="S120">
        <v>11</v>
      </c>
      <c r="T120">
        <v>25</v>
      </c>
      <c r="U120">
        <v>40</v>
      </c>
      <c r="V120">
        <v>13</v>
      </c>
      <c r="W120">
        <v>32</v>
      </c>
      <c r="X120">
        <v>42</v>
      </c>
      <c r="Y120">
        <v>28</v>
      </c>
      <c r="Z120">
        <v>30</v>
      </c>
      <c r="AA120">
        <v>47</v>
      </c>
      <c r="AB120">
        <v>41</v>
      </c>
      <c r="AC120">
        <v>0</v>
      </c>
      <c r="AD120">
        <v>3</v>
      </c>
      <c r="AE120">
        <v>24</v>
      </c>
      <c r="AF120">
        <v>19</v>
      </c>
      <c r="AG120">
        <v>28</v>
      </c>
      <c r="AH120">
        <v>29</v>
      </c>
      <c r="AI120">
        <v>26</v>
      </c>
      <c r="AJ120">
        <v>12</v>
      </c>
      <c r="AK120">
        <v>1</v>
      </c>
      <c r="AL120">
        <v>37</v>
      </c>
      <c r="AM120">
        <v>40</v>
      </c>
      <c r="AN120">
        <v>18</v>
      </c>
      <c r="AO120">
        <v>23</v>
      </c>
      <c r="AP120">
        <v>7</v>
      </c>
      <c r="AQ120">
        <v>0</v>
      </c>
      <c r="AR120">
        <v>10</v>
      </c>
      <c r="AS120">
        <v>45</v>
      </c>
      <c r="AT120">
        <v>19</v>
      </c>
      <c r="AU120">
        <v>49</v>
      </c>
      <c r="AV120">
        <v>44</v>
      </c>
      <c r="AW120">
        <v>33</v>
      </c>
      <c r="AX120">
        <v>37</v>
      </c>
      <c r="AY120">
        <v>9</v>
      </c>
      <c r="AZ120">
        <v>29</v>
      </c>
      <c r="BA120">
        <v>19</v>
      </c>
      <c r="BB120">
        <v>42</v>
      </c>
      <c r="BC120">
        <v>6</v>
      </c>
      <c r="BD120">
        <v>48</v>
      </c>
      <c r="BE120">
        <v>1</v>
      </c>
      <c r="BF120">
        <v>93980</v>
      </c>
      <c r="BG120">
        <v>5222</v>
      </c>
    </row>
    <row r="121" spans="1:59" x14ac:dyDescent="0.3">
      <c r="A121" s="3">
        <v>45411</v>
      </c>
      <c r="B121" t="s">
        <v>63</v>
      </c>
      <c r="C121">
        <v>4</v>
      </c>
      <c r="D121">
        <v>745</v>
      </c>
      <c r="E121">
        <v>681</v>
      </c>
      <c r="F121">
        <v>46</v>
      </c>
      <c r="G121">
        <v>13</v>
      </c>
      <c r="H121">
        <v>17</v>
      </c>
      <c r="I121">
        <v>24</v>
      </c>
      <c r="J121">
        <v>47</v>
      </c>
      <c r="K121">
        <v>16</v>
      </c>
      <c r="L121">
        <v>19</v>
      </c>
      <c r="M121">
        <v>26</v>
      </c>
      <c r="N121">
        <v>1</v>
      </c>
      <c r="O121">
        <v>24</v>
      </c>
      <c r="P121">
        <v>29</v>
      </c>
      <c r="Q121">
        <v>12</v>
      </c>
      <c r="R121">
        <v>47</v>
      </c>
      <c r="S121">
        <v>28</v>
      </c>
      <c r="T121">
        <v>48</v>
      </c>
      <c r="U121">
        <v>2</v>
      </c>
      <c r="V121">
        <v>40</v>
      </c>
      <c r="W121">
        <v>47</v>
      </c>
      <c r="X121">
        <v>10</v>
      </c>
      <c r="Y121">
        <v>44</v>
      </c>
      <c r="Z121">
        <v>43</v>
      </c>
      <c r="AA121">
        <v>0</v>
      </c>
      <c r="AB121">
        <v>40</v>
      </c>
      <c r="AC121">
        <v>15</v>
      </c>
      <c r="AD121">
        <v>23</v>
      </c>
      <c r="AE121">
        <v>23</v>
      </c>
      <c r="AF121">
        <v>3</v>
      </c>
      <c r="AG121">
        <v>30</v>
      </c>
      <c r="AH121">
        <v>19</v>
      </c>
      <c r="AI121">
        <v>44</v>
      </c>
      <c r="AJ121">
        <v>14</v>
      </c>
      <c r="AK121">
        <v>47</v>
      </c>
      <c r="AL121">
        <v>10</v>
      </c>
      <c r="AM121">
        <v>19</v>
      </c>
      <c r="AN121">
        <v>46</v>
      </c>
      <c r="AO121">
        <v>38</v>
      </c>
      <c r="AP121">
        <v>20</v>
      </c>
      <c r="AQ121">
        <v>18</v>
      </c>
      <c r="AR121">
        <v>8</v>
      </c>
      <c r="AS121">
        <v>15</v>
      </c>
      <c r="AT121">
        <v>19</v>
      </c>
      <c r="AU121">
        <v>41</v>
      </c>
      <c r="AV121">
        <v>42</v>
      </c>
      <c r="AW121">
        <v>33</v>
      </c>
      <c r="AX121">
        <v>31</v>
      </c>
      <c r="AY121">
        <v>11</v>
      </c>
      <c r="AZ121">
        <v>35</v>
      </c>
      <c r="BA121">
        <v>48</v>
      </c>
      <c r="BB121">
        <v>44</v>
      </c>
      <c r="BC121">
        <v>10</v>
      </c>
      <c r="BD121">
        <v>36</v>
      </c>
      <c r="BE121">
        <v>3</v>
      </c>
      <c r="BF121">
        <v>94531</v>
      </c>
      <c r="BG121">
        <v>5234</v>
      </c>
    </row>
    <row r="122" spans="1:59" x14ac:dyDescent="0.3">
      <c r="A122" s="3">
        <v>45412</v>
      </c>
      <c r="B122" t="s">
        <v>63</v>
      </c>
      <c r="C122">
        <v>4</v>
      </c>
      <c r="D122">
        <v>747</v>
      </c>
      <c r="E122">
        <v>682</v>
      </c>
      <c r="F122">
        <v>7</v>
      </c>
      <c r="G122">
        <v>44</v>
      </c>
      <c r="H122">
        <v>41</v>
      </c>
      <c r="I122">
        <v>3</v>
      </c>
      <c r="J122">
        <v>46</v>
      </c>
      <c r="K122">
        <v>30</v>
      </c>
      <c r="L122">
        <v>13</v>
      </c>
      <c r="M122">
        <v>44</v>
      </c>
      <c r="N122">
        <v>4</v>
      </c>
      <c r="O122">
        <v>10</v>
      </c>
      <c r="P122">
        <v>45</v>
      </c>
      <c r="Q122">
        <v>30</v>
      </c>
      <c r="R122">
        <v>38</v>
      </c>
      <c r="S122">
        <v>25</v>
      </c>
      <c r="T122">
        <v>9</v>
      </c>
      <c r="U122">
        <v>28</v>
      </c>
      <c r="V122">
        <v>1</v>
      </c>
      <c r="W122">
        <v>34</v>
      </c>
      <c r="X122">
        <v>33</v>
      </c>
      <c r="Y122">
        <v>36</v>
      </c>
      <c r="Z122">
        <v>5</v>
      </c>
      <c r="AA122">
        <v>38</v>
      </c>
      <c r="AB122">
        <v>18</v>
      </c>
      <c r="AC122">
        <v>16</v>
      </c>
      <c r="AD122">
        <v>47</v>
      </c>
      <c r="AE122">
        <v>34</v>
      </c>
      <c r="AF122">
        <v>10</v>
      </c>
      <c r="AG122">
        <v>45</v>
      </c>
      <c r="AH122">
        <v>21</v>
      </c>
      <c r="AI122">
        <v>21</v>
      </c>
      <c r="AJ122">
        <v>4</v>
      </c>
      <c r="AK122">
        <v>11</v>
      </c>
      <c r="AL122">
        <v>25</v>
      </c>
      <c r="AM122">
        <v>14</v>
      </c>
      <c r="AN122">
        <v>0</v>
      </c>
      <c r="AO122">
        <v>9</v>
      </c>
      <c r="AP122">
        <v>7</v>
      </c>
      <c r="AQ122">
        <v>32</v>
      </c>
      <c r="AR122">
        <v>3</v>
      </c>
      <c r="AS122">
        <v>42</v>
      </c>
      <c r="AT122">
        <v>8</v>
      </c>
      <c r="AU122">
        <v>25</v>
      </c>
      <c r="AV122">
        <v>35</v>
      </c>
      <c r="AW122">
        <v>46</v>
      </c>
      <c r="AX122">
        <v>40</v>
      </c>
      <c r="AY122">
        <v>30</v>
      </c>
      <c r="AZ122">
        <v>28</v>
      </c>
      <c r="BA122">
        <v>47</v>
      </c>
      <c r="BB122">
        <v>44</v>
      </c>
      <c r="BC122">
        <v>4</v>
      </c>
      <c r="BD122">
        <v>30</v>
      </c>
      <c r="BE122">
        <v>18</v>
      </c>
      <c r="BF122">
        <v>95082</v>
      </c>
      <c r="BG122">
        <v>5246</v>
      </c>
    </row>
    <row r="123" spans="1:59" x14ac:dyDescent="0.3">
      <c r="A123" s="3">
        <v>45413</v>
      </c>
      <c r="B123" t="s">
        <v>64</v>
      </c>
      <c r="C123">
        <v>5</v>
      </c>
      <c r="D123">
        <v>748</v>
      </c>
      <c r="E123">
        <v>682</v>
      </c>
      <c r="F123">
        <v>39</v>
      </c>
      <c r="G123">
        <v>38</v>
      </c>
      <c r="H123">
        <v>11</v>
      </c>
      <c r="I123">
        <v>12</v>
      </c>
      <c r="J123">
        <v>22</v>
      </c>
      <c r="K123">
        <v>16</v>
      </c>
      <c r="L123">
        <v>29</v>
      </c>
      <c r="M123">
        <v>36</v>
      </c>
      <c r="N123">
        <v>6</v>
      </c>
      <c r="O123">
        <v>12</v>
      </c>
      <c r="P123">
        <v>46</v>
      </c>
      <c r="Q123">
        <v>12</v>
      </c>
      <c r="R123">
        <v>24</v>
      </c>
      <c r="S123">
        <v>20</v>
      </c>
      <c r="T123">
        <v>17</v>
      </c>
      <c r="U123">
        <v>24</v>
      </c>
      <c r="V123">
        <v>8</v>
      </c>
      <c r="W123">
        <v>37</v>
      </c>
      <c r="X123">
        <v>32</v>
      </c>
      <c r="Y123">
        <v>26</v>
      </c>
      <c r="Z123">
        <v>8</v>
      </c>
      <c r="AA123">
        <v>44</v>
      </c>
      <c r="AB123">
        <v>4</v>
      </c>
      <c r="AC123">
        <v>18</v>
      </c>
      <c r="AD123">
        <v>35</v>
      </c>
      <c r="AE123">
        <v>16</v>
      </c>
      <c r="AF123">
        <v>45</v>
      </c>
      <c r="AG123">
        <v>40</v>
      </c>
      <c r="AH123">
        <v>40</v>
      </c>
      <c r="AI123">
        <v>3</v>
      </c>
      <c r="AJ123">
        <v>20</v>
      </c>
      <c r="AK123">
        <v>47</v>
      </c>
      <c r="AL123">
        <v>30</v>
      </c>
      <c r="AM123">
        <v>41</v>
      </c>
      <c r="AN123">
        <v>21</v>
      </c>
      <c r="AO123">
        <v>10</v>
      </c>
      <c r="AP123">
        <v>30</v>
      </c>
      <c r="AQ123">
        <v>22</v>
      </c>
      <c r="AR123">
        <v>42</v>
      </c>
      <c r="AS123">
        <v>45</v>
      </c>
      <c r="AT123">
        <v>2</v>
      </c>
      <c r="AU123">
        <v>9</v>
      </c>
      <c r="AV123">
        <v>40</v>
      </c>
      <c r="AW123">
        <v>32</v>
      </c>
      <c r="AX123">
        <v>33</v>
      </c>
      <c r="AY123">
        <v>48</v>
      </c>
      <c r="AZ123">
        <v>11</v>
      </c>
      <c r="BA123">
        <v>5</v>
      </c>
      <c r="BB123">
        <v>15</v>
      </c>
      <c r="BC123">
        <v>41</v>
      </c>
      <c r="BD123">
        <v>17</v>
      </c>
      <c r="BE123">
        <v>1</v>
      </c>
      <c r="BF123">
        <v>95632</v>
      </c>
      <c r="BG123">
        <v>5258</v>
      </c>
    </row>
    <row r="124" spans="1:59" x14ac:dyDescent="0.3">
      <c r="A124" s="3">
        <v>45414</v>
      </c>
      <c r="B124" t="s">
        <v>64</v>
      </c>
      <c r="C124">
        <v>5</v>
      </c>
      <c r="D124">
        <v>750</v>
      </c>
      <c r="E124">
        <v>683</v>
      </c>
      <c r="F124">
        <v>19</v>
      </c>
      <c r="G124">
        <v>13</v>
      </c>
      <c r="H124">
        <v>22</v>
      </c>
      <c r="I124">
        <v>5</v>
      </c>
      <c r="J124">
        <v>6</v>
      </c>
      <c r="K124">
        <v>31</v>
      </c>
      <c r="L124">
        <v>10</v>
      </c>
      <c r="M124">
        <v>35</v>
      </c>
      <c r="N124">
        <v>19</v>
      </c>
      <c r="O124">
        <v>26</v>
      </c>
      <c r="P124">
        <v>49</v>
      </c>
      <c r="Q124">
        <v>20</v>
      </c>
      <c r="R124">
        <v>8</v>
      </c>
      <c r="S124">
        <v>32</v>
      </c>
      <c r="T124">
        <v>31</v>
      </c>
      <c r="U124">
        <v>5</v>
      </c>
      <c r="V124">
        <v>32</v>
      </c>
      <c r="W124">
        <v>14</v>
      </c>
      <c r="X124">
        <v>43</v>
      </c>
      <c r="Y124">
        <v>27</v>
      </c>
      <c r="Z124">
        <v>30</v>
      </c>
      <c r="AA124">
        <v>12</v>
      </c>
      <c r="AB124">
        <v>19</v>
      </c>
      <c r="AC124">
        <v>35</v>
      </c>
      <c r="AD124">
        <v>13</v>
      </c>
      <c r="AE124">
        <v>8</v>
      </c>
      <c r="AF124">
        <v>6</v>
      </c>
      <c r="AG124">
        <v>4</v>
      </c>
      <c r="AH124">
        <v>0</v>
      </c>
      <c r="AI124">
        <v>5</v>
      </c>
      <c r="AJ124">
        <v>27</v>
      </c>
      <c r="AK124">
        <v>41</v>
      </c>
      <c r="AL124">
        <v>3</v>
      </c>
      <c r="AM124">
        <v>42</v>
      </c>
      <c r="AN124">
        <v>17</v>
      </c>
      <c r="AO124">
        <v>20</v>
      </c>
      <c r="AP124">
        <v>1</v>
      </c>
      <c r="AQ124">
        <v>3</v>
      </c>
      <c r="AR124">
        <v>32</v>
      </c>
      <c r="AS124">
        <v>17</v>
      </c>
      <c r="AT124">
        <v>46</v>
      </c>
      <c r="AU124">
        <v>6</v>
      </c>
      <c r="AV124">
        <v>48</v>
      </c>
      <c r="AW124">
        <v>2</v>
      </c>
      <c r="AX124">
        <v>21</v>
      </c>
      <c r="AY124">
        <v>13</v>
      </c>
      <c r="AZ124">
        <v>47</v>
      </c>
      <c r="BA124">
        <v>39</v>
      </c>
      <c r="BB124">
        <v>37</v>
      </c>
      <c r="BC124">
        <v>44</v>
      </c>
      <c r="BD124">
        <v>44</v>
      </c>
      <c r="BE124">
        <v>40</v>
      </c>
      <c r="BF124">
        <v>96183</v>
      </c>
      <c r="BG124">
        <v>5270</v>
      </c>
    </row>
    <row r="125" spans="1:59" x14ac:dyDescent="0.3">
      <c r="A125" s="3">
        <v>45415</v>
      </c>
      <c r="B125" t="s">
        <v>64</v>
      </c>
      <c r="C125">
        <v>5</v>
      </c>
      <c r="D125">
        <v>752</v>
      </c>
      <c r="E125">
        <v>684</v>
      </c>
      <c r="F125">
        <v>0</v>
      </c>
      <c r="G125">
        <v>27</v>
      </c>
      <c r="H125">
        <v>45</v>
      </c>
      <c r="I125">
        <v>39</v>
      </c>
      <c r="J125">
        <v>8</v>
      </c>
      <c r="K125">
        <v>4</v>
      </c>
      <c r="L125">
        <v>10</v>
      </c>
      <c r="M125">
        <v>30</v>
      </c>
      <c r="N125">
        <v>7</v>
      </c>
      <c r="O125">
        <v>17</v>
      </c>
      <c r="P125">
        <v>5</v>
      </c>
      <c r="Q125">
        <v>4</v>
      </c>
      <c r="R125">
        <v>9</v>
      </c>
      <c r="S125">
        <v>3</v>
      </c>
      <c r="T125">
        <v>1</v>
      </c>
      <c r="U125">
        <v>38</v>
      </c>
      <c r="V125">
        <v>47</v>
      </c>
      <c r="W125">
        <v>40</v>
      </c>
      <c r="X125">
        <v>19</v>
      </c>
      <c r="Y125">
        <v>20</v>
      </c>
      <c r="Z125">
        <v>7</v>
      </c>
      <c r="AA125">
        <v>24</v>
      </c>
      <c r="AB125">
        <v>12</v>
      </c>
      <c r="AC125">
        <v>8</v>
      </c>
      <c r="AD125">
        <v>31</v>
      </c>
      <c r="AE125">
        <v>48</v>
      </c>
      <c r="AF125">
        <v>40</v>
      </c>
      <c r="AG125">
        <v>26</v>
      </c>
      <c r="AH125">
        <v>10</v>
      </c>
      <c r="AI125">
        <v>17</v>
      </c>
      <c r="AJ125">
        <v>41</v>
      </c>
      <c r="AK125">
        <v>26</v>
      </c>
      <c r="AL125">
        <v>7</v>
      </c>
      <c r="AM125">
        <v>6</v>
      </c>
      <c r="AN125">
        <v>2</v>
      </c>
      <c r="AO125">
        <v>32</v>
      </c>
      <c r="AP125">
        <v>40</v>
      </c>
      <c r="AQ125">
        <v>36</v>
      </c>
      <c r="AR125">
        <v>34</v>
      </c>
      <c r="AS125">
        <v>15</v>
      </c>
      <c r="AT125">
        <v>18</v>
      </c>
      <c r="AU125">
        <v>13</v>
      </c>
      <c r="AV125">
        <v>38</v>
      </c>
      <c r="AW125">
        <v>45</v>
      </c>
      <c r="AX125">
        <v>45</v>
      </c>
      <c r="AY125">
        <v>12</v>
      </c>
      <c r="AZ125">
        <v>32</v>
      </c>
      <c r="BA125">
        <v>41</v>
      </c>
      <c r="BB125">
        <v>34</v>
      </c>
      <c r="BC125">
        <v>31</v>
      </c>
      <c r="BD125">
        <v>42</v>
      </c>
      <c r="BE125">
        <v>44</v>
      </c>
      <c r="BF125">
        <v>96734</v>
      </c>
      <c r="BG125">
        <v>5282</v>
      </c>
    </row>
    <row r="126" spans="1:59" x14ac:dyDescent="0.3">
      <c r="A126" s="3">
        <v>45416</v>
      </c>
      <c r="B126" t="s">
        <v>64</v>
      </c>
      <c r="C126">
        <v>5</v>
      </c>
      <c r="D126">
        <v>753</v>
      </c>
      <c r="E126">
        <v>684</v>
      </c>
      <c r="F126">
        <v>24</v>
      </c>
      <c r="G126">
        <v>14</v>
      </c>
      <c r="H126">
        <v>46</v>
      </c>
      <c r="I126">
        <v>17</v>
      </c>
      <c r="J126">
        <v>47</v>
      </c>
      <c r="K126">
        <v>2</v>
      </c>
      <c r="L126">
        <v>42</v>
      </c>
      <c r="M126">
        <v>4</v>
      </c>
      <c r="N126">
        <v>42</v>
      </c>
      <c r="O126">
        <v>26</v>
      </c>
      <c r="P126">
        <v>17</v>
      </c>
      <c r="Q126">
        <v>35</v>
      </c>
      <c r="R126">
        <v>12</v>
      </c>
      <c r="S126">
        <v>41</v>
      </c>
      <c r="T126">
        <v>45</v>
      </c>
      <c r="U126">
        <v>1</v>
      </c>
      <c r="V126">
        <v>15</v>
      </c>
      <c r="W126">
        <v>39</v>
      </c>
      <c r="X126">
        <v>22</v>
      </c>
      <c r="Y126">
        <v>47</v>
      </c>
      <c r="Z126">
        <v>1</v>
      </c>
      <c r="AA126">
        <v>0</v>
      </c>
      <c r="AB126">
        <v>4</v>
      </c>
      <c r="AC126">
        <v>44</v>
      </c>
      <c r="AD126">
        <v>47</v>
      </c>
      <c r="AE126">
        <v>39</v>
      </c>
      <c r="AF126">
        <v>1</v>
      </c>
      <c r="AG126">
        <v>12</v>
      </c>
      <c r="AH126">
        <v>24</v>
      </c>
      <c r="AI126">
        <v>8</v>
      </c>
      <c r="AJ126">
        <v>13</v>
      </c>
      <c r="AK126">
        <v>3</v>
      </c>
      <c r="AL126">
        <v>44</v>
      </c>
      <c r="AM126">
        <v>20</v>
      </c>
      <c r="AN126">
        <v>48</v>
      </c>
      <c r="AO126">
        <v>3</v>
      </c>
      <c r="AP126">
        <v>10</v>
      </c>
      <c r="AQ126">
        <v>26</v>
      </c>
      <c r="AR126">
        <v>18</v>
      </c>
      <c r="AS126">
        <v>22</v>
      </c>
      <c r="AT126">
        <v>30</v>
      </c>
      <c r="AU126">
        <v>15</v>
      </c>
      <c r="AV126">
        <v>46</v>
      </c>
      <c r="AW126">
        <v>33</v>
      </c>
      <c r="AX126">
        <v>10</v>
      </c>
      <c r="AY126">
        <v>31</v>
      </c>
      <c r="AZ126">
        <v>42</v>
      </c>
      <c r="BA126">
        <v>2</v>
      </c>
      <c r="BB126">
        <v>41</v>
      </c>
      <c r="BC126">
        <v>43</v>
      </c>
      <c r="BD126">
        <v>2</v>
      </c>
      <c r="BE126">
        <v>12</v>
      </c>
      <c r="BF126">
        <v>97284</v>
      </c>
      <c r="BG126">
        <v>5294</v>
      </c>
    </row>
    <row r="127" spans="1:59" x14ac:dyDescent="0.3">
      <c r="A127" s="3">
        <v>45417</v>
      </c>
      <c r="B127" t="s">
        <v>64</v>
      </c>
      <c r="C127">
        <v>5</v>
      </c>
      <c r="D127">
        <v>755</v>
      </c>
      <c r="E127">
        <v>685</v>
      </c>
      <c r="F127">
        <v>15</v>
      </c>
      <c r="G127">
        <v>9</v>
      </c>
      <c r="H127">
        <v>37</v>
      </c>
      <c r="I127">
        <v>46</v>
      </c>
      <c r="J127">
        <v>13</v>
      </c>
      <c r="K127">
        <v>12</v>
      </c>
      <c r="L127">
        <v>31</v>
      </c>
      <c r="M127">
        <v>40</v>
      </c>
      <c r="N127">
        <v>27</v>
      </c>
      <c r="O127">
        <v>43</v>
      </c>
      <c r="P127">
        <v>5</v>
      </c>
      <c r="Q127">
        <v>49</v>
      </c>
      <c r="R127">
        <v>15</v>
      </c>
      <c r="S127">
        <v>16</v>
      </c>
      <c r="T127">
        <v>8</v>
      </c>
      <c r="U127">
        <v>15</v>
      </c>
      <c r="V127">
        <v>43</v>
      </c>
      <c r="W127">
        <v>37</v>
      </c>
      <c r="X127">
        <v>31</v>
      </c>
      <c r="Y127">
        <v>12</v>
      </c>
      <c r="Z127">
        <v>48</v>
      </c>
      <c r="AA127">
        <v>8</v>
      </c>
      <c r="AB127">
        <v>44</v>
      </c>
      <c r="AC127">
        <v>29</v>
      </c>
      <c r="AD127">
        <v>49</v>
      </c>
      <c r="AE127">
        <v>8</v>
      </c>
      <c r="AF127">
        <v>20</v>
      </c>
      <c r="AG127">
        <v>39</v>
      </c>
      <c r="AH127">
        <v>34</v>
      </c>
      <c r="AI127">
        <v>0</v>
      </c>
      <c r="AJ127">
        <v>5</v>
      </c>
      <c r="AK127">
        <v>7</v>
      </c>
      <c r="AL127">
        <v>22</v>
      </c>
      <c r="AM127">
        <v>20</v>
      </c>
      <c r="AN127">
        <v>24</v>
      </c>
      <c r="AO127">
        <v>17</v>
      </c>
      <c r="AP127">
        <v>31</v>
      </c>
      <c r="AQ127">
        <v>32</v>
      </c>
      <c r="AR127">
        <v>1</v>
      </c>
      <c r="AS127">
        <v>21</v>
      </c>
      <c r="AT127">
        <v>2</v>
      </c>
      <c r="AU127">
        <v>46</v>
      </c>
      <c r="AV127">
        <v>42</v>
      </c>
      <c r="AW127">
        <v>2</v>
      </c>
      <c r="AX127">
        <v>14</v>
      </c>
      <c r="AY127">
        <v>22</v>
      </c>
      <c r="AZ127">
        <v>31</v>
      </c>
      <c r="BA127">
        <v>18</v>
      </c>
      <c r="BB127">
        <v>49</v>
      </c>
      <c r="BC127">
        <v>0</v>
      </c>
      <c r="BD127">
        <v>34</v>
      </c>
      <c r="BE127">
        <v>17</v>
      </c>
      <c r="BF127">
        <v>97835</v>
      </c>
      <c r="BG127">
        <v>5306</v>
      </c>
    </row>
    <row r="128" spans="1:59" x14ac:dyDescent="0.3">
      <c r="A128" s="3">
        <v>45418</v>
      </c>
      <c r="B128" t="s">
        <v>64</v>
      </c>
      <c r="C128">
        <v>5</v>
      </c>
      <c r="D128">
        <v>757</v>
      </c>
      <c r="E128">
        <v>686</v>
      </c>
      <c r="F128">
        <v>43</v>
      </c>
      <c r="G128">
        <v>6</v>
      </c>
      <c r="H128">
        <v>1</v>
      </c>
      <c r="I128">
        <v>12</v>
      </c>
      <c r="J128">
        <v>27</v>
      </c>
      <c r="K128">
        <v>20</v>
      </c>
      <c r="L128">
        <v>4</v>
      </c>
      <c r="M128">
        <v>31</v>
      </c>
      <c r="N128">
        <v>30</v>
      </c>
      <c r="O128">
        <v>24</v>
      </c>
      <c r="P128">
        <v>32</v>
      </c>
      <c r="Q128">
        <v>5</v>
      </c>
      <c r="R128">
        <v>30</v>
      </c>
      <c r="S128">
        <v>32</v>
      </c>
      <c r="T128">
        <v>0</v>
      </c>
      <c r="U128">
        <v>17</v>
      </c>
      <c r="V128">
        <v>37</v>
      </c>
      <c r="W128">
        <v>2</v>
      </c>
      <c r="X128">
        <v>35</v>
      </c>
      <c r="Y128">
        <v>2</v>
      </c>
      <c r="Z128">
        <v>44</v>
      </c>
      <c r="AA128">
        <v>1</v>
      </c>
      <c r="AB128">
        <v>42</v>
      </c>
      <c r="AC128">
        <v>40</v>
      </c>
      <c r="AD128">
        <v>18</v>
      </c>
      <c r="AE128">
        <v>2</v>
      </c>
      <c r="AF128">
        <v>43</v>
      </c>
      <c r="AG128">
        <v>12</v>
      </c>
      <c r="AH128">
        <v>14</v>
      </c>
      <c r="AI128">
        <v>11</v>
      </c>
      <c r="AJ128">
        <v>2</v>
      </c>
      <c r="AK128">
        <v>21</v>
      </c>
      <c r="AL128">
        <v>48</v>
      </c>
      <c r="AM128">
        <v>30</v>
      </c>
      <c r="AN128">
        <v>15</v>
      </c>
      <c r="AO128">
        <v>9</v>
      </c>
      <c r="AP128">
        <v>39</v>
      </c>
      <c r="AQ128">
        <v>17</v>
      </c>
      <c r="AR128">
        <v>12</v>
      </c>
      <c r="AS128">
        <v>38</v>
      </c>
      <c r="AT128">
        <v>37</v>
      </c>
      <c r="AU128">
        <v>26</v>
      </c>
      <c r="AV128">
        <v>48</v>
      </c>
      <c r="AW128">
        <v>7</v>
      </c>
      <c r="AX128">
        <v>5</v>
      </c>
      <c r="AY128">
        <v>16</v>
      </c>
      <c r="AZ128">
        <v>3</v>
      </c>
      <c r="BA128">
        <v>41</v>
      </c>
      <c r="BB128">
        <v>5</v>
      </c>
      <c r="BC128">
        <v>10</v>
      </c>
      <c r="BD128">
        <v>9</v>
      </c>
      <c r="BE128">
        <v>10</v>
      </c>
      <c r="BF128">
        <v>98386</v>
      </c>
      <c r="BG128">
        <v>5318</v>
      </c>
    </row>
    <row r="129" spans="1:59" x14ac:dyDescent="0.3">
      <c r="A129" s="3">
        <v>45419</v>
      </c>
      <c r="B129" t="s">
        <v>64</v>
      </c>
      <c r="C129">
        <v>5</v>
      </c>
      <c r="D129">
        <v>758</v>
      </c>
      <c r="E129">
        <v>686</v>
      </c>
      <c r="F129">
        <v>49</v>
      </c>
      <c r="G129">
        <v>0</v>
      </c>
      <c r="H129">
        <v>1</v>
      </c>
      <c r="I129">
        <v>16</v>
      </c>
      <c r="J129">
        <v>38</v>
      </c>
      <c r="K129">
        <v>6</v>
      </c>
      <c r="L129">
        <v>12</v>
      </c>
      <c r="M129">
        <v>18</v>
      </c>
      <c r="N129">
        <v>44</v>
      </c>
      <c r="O129">
        <v>9</v>
      </c>
      <c r="P129">
        <v>48</v>
      </c>
      <c r="Q129">
        <v>3</v>
      </c>
      <c r="R129">
        <v>26</v>
      </c>
      <c r="S129">
        <v>48</v>
      </c>
      <c r="T129">
        <v>1</v>
      </c>
      <c r="U129">
        <v>49</v>
      </c>
      <c r="V129">
        <v>28</v>
      </c>
      <c r="W129">
        <v>8</v>
      </c>
      <c r="X129">
        <v>12</v>
      </c>
      <c r="Y129">
        <v>2</v>
      </c>
      <c r="Z129">
        <v>42</v>
      </c>
      <c r="AA129">
        <v>40</v>
      </c>
      <c r="AB129">
        <v>23</v>
      </c>
      <c r="AC129">
        <v>42</v>
      </c>
      <c r="AD129">
        <v>16</v>
      </c>
      <c r="AE129">
        <v>6</v>
      </c>
      <c r="AF129">
        <v>25</v>
      </c>
      <c r="AG129">
        <v>44</v>
      </c>
      <c r="AH129">
        <v>38</v>
      </c>
      <c r="AI129">
        <v>10</v>
      </c>
      <c r="AJ129">
        <v>12</v>
      </c>
      <c r="AK129">
        <v>32</v>
      </c>
      <c r="AL129">
        <v>25</v>
      </c>
      <c r="AM129">
        <v>7</v>
      </c>
      <c r="AN129">
        <v>14</v>
      </c>
      <c r="AO129">
        <v>35</v>
      </c>
      <c r="AP129">
        <v>14</v>
      </c>
      <c r="AQ129">
        <v>15</v>
      </c>
      <c r="AR129">
        <v>18</v>
      </c>
      <c r="AS129">
        <v>1</v>
      </c>
      <c r="AT129">
        <v>3</v>
      </c>
      <c r="AU129">
        <v>0</v>
      </c>
      <c r="AV129">
        <v>37</v>
      </c>
      <c r="AW129">
        <v>11</v>
      </c>
      <c r="AX129">
        <v>38</v>
      </c>
      <c r="AY129">
        <v>2</v>
      </c>
      <c r="AZ129">
        <v>46</v>
      </c>
      <c r="BA129">
        <v>1</v>
      </c>
      <c r="BB129">
        <v>47</v>
      </c>
      <c r="BC129">
        <v>32</v>
      </c>
      <c r="BD129">
        <v>48</v>
      </c>
      <c r="BE129">
        <v>0</v>
      </c>
      <c r="BF129">
        <v>98936</v>
      </c>
      <c r="BG129">
        <v>5330</v>
      </c>
    </row>
    <row r="130" spans="1:59" x14ac:dyDescent="0.3">
      <c r="A130" s="3">
        <v>45420</v>
      </c>
      <c r="B130" t="s">
        <v>64</v>
      </c>
      <c r="C130">
        <v>5</v>
      </c>
      <c r="D130">
        <v>760</v>
      </c>
      <c r="E130">
        <v>687</v>
      </c>
      <c r="F130">
        <v>19</v>
      </c>
      <c r="G130">
        <v>22</v>
      </c>
      <c r="H130">
        <v>16</v>
      </c>
      <c r="I130">
        <v>1</v>
      </c>
      <c r="J130">
        <v>23</v>
      </c>
      <c r="K130">
        <v>24</v>
      </c>
      <c r="L130">
        <v>34</v>
      </c>
      <c r="M130">
        <v>12</v>
      </c>
      <c r="N130">
        <v>36</v>
      </c>
      <c r="O130">
        <v>28</v>
      </c>
      <c r="P130">
        <v>47</v>
      </c>
      <c r="Q130">
        <v>30</v>
      </c>
      <c r="R130">
        <v>41</v>
      </c>
      <c r="S130">
        <v>13</v>
      </c>
      <c r="T130">
        <v>27</v>
      </c>
      <c r="U130">
        <v>24</v>
      </c>
      <c r="V130">
        <v>42</v>
      </c>
      <c r="W130">
        <v>36</v>
      </c>
      <c r="X130">
        <v>43</v>
      </c>
      <c r="Y130">
        <v>42</v>
      </c>
      <c r="Z130">
        <v>10</v>
      </c>
      <c r="AA130">
        <v>9</v>
      </c>
      <c r="AB130">
        <v>34</v>
      </c>
      <c r="AC130">
        <v>4</v>
      </c>
      <c r="AD130">
        <v>29</v>
      </c>
      <c r="AE130">
        <v>48</v>
      </c>
      <c r="AF130">
        <v>40</v>
      </c>
      <c r="AG130">
        <v>26</v>
      </c>
      <c r="AH130">
        <v>23</v>
      </c>
      <c r="AI130">
        <v>45</v>
      </c>
      <c r="AJ130">
        <v>12</v>
      </c>
      <c r="AK130">
        <v>0</v>
      </c>
      <c r="AL130">
        <v>10</v>
      </c>
      <c r="AM130">
        <v>3</v>
      </c>
      <c r="AN130">
        <v>40</v>
      </c>
      <c r="AO130">
        <v>33</v>
      </c>
      <c r="AP130">
        <v>37</v>
      </c>
      <c r="AQ130">
        <v>23</v>
      </c>
      <c r="AR130">
        <v>0</v>
      </c>
      <c r="AS130">
        <v>2</v>
      </c>
      <c r="AT130">
        <v>39</v>
      </c>
      <c r="AU130">
        <v>32</v>
      </c>
      <c r="AV130">
        <v>45</v>
      </c>
      <c r="AW130">
        <v>44</v>
      </c>
      <c r="AX130">
        <v>36</v>
      </c>
      <c r="AY130">
        <v>48</v>
      </c>
      <c r="AZ130">
        <v>8</v>
      </c>
      <c r="BA130">
        <v>4</v>
      </c>
      <c r="BB130">
        <v>30</v>
      </c>
      <c r="BC130">
        <v>7</v>
      </c>
      <c r="BD130">
        <v>10</v>
      </c>
      <c r="BE130">
        <v>7</v>
      </c>
      <c r="BF130">
        <v>99487</v>
      </c>
      <c r="BG130">
        <v>5343</v>
      </c>
    </row>
    <row r="131" spans="1:59" x14ac:dyDescent="0.3">
      <c r="A131" s="3">
        <v>45421</v>
      </c>
      <c r="B131" t="s">
        <v>64</v>
      </c>
      <c r="C131">
        <v>5</v>
      </c>
      <c r="D131">
        <v>762</v>
      </c>
      <c r="E131">
        <v>688</v>
      </c>
      <c r="F131">
        <v>16</v>
      </c>
      <c r="G131">
        <v>29</v>
      </c>
      <c r="H131">
        <v>33</v>
      </c>
      <c r="I131">
        <v>43</v>
      </c>
      <c r="J131">
        <v>10</v>
      </c>
      <c r="K131">
        <v>20</v>
      </c>
      <c r="L131">
        <v>43</v>
      </c>
      <c r="M131">
        <v>13</v>
      </c>
      <c r="N131">
        <v>23</v>
      </c>
      <c r="O131">
        <v>11</v>
      </c>
      <c r="P131">
        <v>41</v>
      </c>
      <c r="Q131">
        <v>39</v>
      </c>
      <c r="R131">
        <v>6</v>
      </c>
      <c r="S131">
        <v>27</v>
      </c>
      <c r="T131">
        <v>24</v>
      </c>
      <c r="U131">
        <v>3</v>
      </c>
      <c r="V131">
        <v>42</v>
      </c>
      <c r="W131">
        <v>38</v>
      </c>
      <c r="X131">
        <v>40</v>
      </c>
      <c r="Y131">
        <v>15</v>
      </c>
      <c r="Z131">
        <v>34</v>
      </c>
      <c r="AA131">
        <v>38</v>
      </c>
      <c r="AB131">
        <v>19</v>
      </c>
      <c r="AC131">
        <v>32</v>
      </c>
      <c r="AD131">
        <v>26</v>
      </c>
      <c r="AE131">
        <v>39</v>
      </c>
      <c r="AF131">
        <v>8</v>
      </c>
      <c r="AG131">
        <v>2</v>
      </c>
      <c r="AH131">
        <v>41</v>
      </c>
      <c r="AI131">
        <v>18</v>
      </c>
      <c r="AJ131">
        <v>41</v>
      </c>
      <c r="AK131">
        <v>37</v>
      </c>
      <c r="AL131">
        <v>23</v>
      </c>
      <c r="AM131">
        <v>10</v>
      </c>
      <c r="AN131">
        <v>2</v>
      </c>
      <c r="AO131">
        <v>14</v>
      </c>
      <c r="AP131">
        <v>22</v>
      </c>
      <c r="AQ131">
        <v>5</v>
      </c>
      <c r="AR131">
        <v>33</v>
      </c>
      <c r="AS131">
        <v>5</v>
      </c>
      <c r="AT131">
        <v>16</v>
      </c>
      <c r="AU131">
        <v>2</v>
      </c>
      <c r="AV131">
        <v>32</v>
      </c>
      <c r="AW131">
        <v>12</v>
      </c>
      <c r="AX131">
        <v>22</v>
      </c>
      <c r="AY131">
        <v>41</v>
      </c>
      <c r="AZ131">
        <v>21</v>
      </c>
      <c r="BA131">
        <v>28</v>
      </c>
      <c r="BB131">
        <v>34</v>
      </c>
      <c r="BC131">
        <v>35</v>
      </c>
      <c r="BD131">
        <v>20</v>
      </c>
      <c r="BE131">
        <v>41</v>
      </c>
      <c r="BF131">
        <v>100038</v>
      </c>
      <c r="BG131">
        <v>5355</v>
      </c>
    </row>
    <row r="132" spans="1:59" x14ac:dyDescent="0.3">
      <c r="A132" s="3">
        <v>45422</v>
      </c>
      <c r="B132" t="s">
        <v>64</v>
      </c>
      <c r="C132">
        <v>5</v>
      </c>
      <c r="D132">
        <v>763</v>
      </c>
      <c r="E132">
        <v>689</v>
      </c>
      <c r="F132">
        <v>43</v>
      </c>
      <c r="G132">
        <v>38</v>
      </c>
      <c r="H132">
        <v>13</v>
      </c>
      <c r="I132">
        <v>41</v>
      </c>
      <c r="J132">
        <v>26</v>
      </c>
      <c r="K132">
        <v>35</v>
      </c>
      <c r="L132">
        <v>8</v>
      </c>
      <c r="M132">
        <v>19</v>
      </c>
      <c r="N132">
        <v>41</v>
      </c>
      <c r="O132">
        <v>23</v>
      </c>
      <c r="P132">
        <v>23</v>
      </c>
      <c r="Q132">
        <v>31</v>
      </c>
      <c r="R132">
        <v>2</v>
      </c>
      <c r="S132">
        <v>26</v>
      </c>
      <c r="T132">
        <v>40</v>
      </c>
      <c r="U132">
        <v>44</v>
      </c>
      <c r="V132">
        <v>45</v>
      </c>
      <c r="W132">
        <v>33</v>
      </c>
      <c r="X132">
        <v>12</v>
      </c>
      <c r="Y132">
        <v>2</v>
      </c>
      <c r="Z132">
        <v>41</v>
      </c>
      <c r="AA132">
        <v>6</v>
      </c>
      <c r="AB132">
        <v>8</v>
      </c>
      <c r="AC132">
        <v>14</v>
      </c>
      <c r="AD132">
        <v>5</v>
      </c>
      <c r="AE132">
        <v>2</v>
      </c>
      <c r="AF132">
        <v>29</v>
      </c>
      <c r="AG132">
        <v>12</v>
      </c>
      <c r="AH132">
        <v>44</v>
      </c>
      <c r="AI132">
        <v>43</v>
      </c>
      <c r="AJ132">
        <v>20</v>
      </c>
      <c r="AK132">
        <v>41</v>
      </c>
      <c r="AL132">
        <v>31</v>
      </c>
      <c r="AM132">
        <v>9</v>
      </c>
      <c r="AN132">
        <v>46</v>
      </c>
      <c r="AO132">
        <v>23</v>
      </c>
      <c r="AP132">
        <v>36</v>
      </c>
      <c r="AQ132">
        <v>28</v>
      </c>
      <c r="AR132">
        <v>37</v>
      </c>
      <c r="AS132">
        <v>27</v>
      </c>
      <c r="AT132">
        <v>32</v>
      </c>
      <c r="AU132">
        <v>42</v>
      </c>
      <c r="AV132">
        <v>37</v>
      </c>
      <c r="AW132">
        <v>5</v>
      </c>
      <c r="AX132">
        <v>36</v>
      </c>
      <c r="AY132">
        <v>5</v>
      </c>
      <c r="AZ132">
        <v>17</v>
      </c>
      <c r="BA132">
        <v>19</v>
      </c>
      <c r="BB132">
        <v>39</v>
      </c>
      <c r="BC132">
        <v>25</v>
      </c>
      <c r="BD132">
        <v>23</v>
      </c>
      <c r="BE132">
        <v>42</v>
      </c>
      <c r="BF132">
        <v>100589</v>
      </c>
      <c r="BG132">
        <v>5367</v>
      </c>
    </row>
    <row r="133" spans="1:59" x14ac:dyDescent="0.3">
      <c r="A133" s="3">
        <v>45423</v>
      </c>
      <c r="B133" t="s">
        <v>64</v>
      </c>
      <c r="C133">
        <v>5</v>
      </c>
      <c r="D133">
        <v>765</v>
      </c>
      <c r="E133">
        <v>689</v>
      </c>
      <c r="F133">
        <v>47</v>
      </c>
      <c r="G133">
        <v>9</v>
      </c>
      <c r="H133">
        <v>20</v>
      </c>
      <c r="I133">
        <v>38</v>
      </c>
      <c r="J133">
        <v>18</v>
      </c>
      <c r="K133">
        <v>36</v>
      </c>
      <c r="L133">
        <v>21</v>
      </c>
      <c r="M133">
        <v>49</v>
      </c>
      <c r="N133">
        <v>41</v>
      </c>
      <c r="O133">
        <v>42</v>
      </c>
      <c r="P133">
        <v>11</v>
      </c>
      <c r="Q133">
        <v>15</v>
      </c>
      <c r="R133">
        <v>3</v>
      </c>
      <c r="S133">
        <v>49</v>
      </c>
      <c r="T133">
        <v>6</v>
      </c>
      <c r="U133">
        <v>37</v>
      </c>
      <c r="V133">
        <v>27</v>
      </c>
      <c r="W133">
        <v>13</v>
      </c>
      <c r="X133">
        <v>40</v>
      </c>
      <c r="Y133">
        <v>7</v>
      </c>
      <c r="Z133">
        <v>2</v>
      </c>
      <c r="AA133">
        <v>32</v>
      </c>
      <c r="AB133">
        <v>45</v>
      </c>
      <c r="AC133">
        <v>0</v>
      </c>
      <c r="AD133">
        <v>5</v>
      </c>
      <c r="AE133">
        <v>4</v>
      </c>
      <c r="AF133">
        <v>15</v>
      </c>
      <c r="AG133">
        <v>11</v>
      </c>
      <c r="AH133">
        <v>32</v>
      </c>
      <c r="AI133">
        <v>32</v>
      </c>
      <c r="AJ133">
        <v>5</v>
      </c>
      <c r="AK133">
        <v>48</v>
      </c>
      <c r="AL133">
        <v>31</v>
      </c>
      <c r="AM133">
        <v>8</v>
      </c>
      <c r="AN133">
        <v>11</v>
      </c>
      <c r="AO133">
        <v>25</v>
      </c>
      <c r="AP133">
        <v>19</v>
      </c>
      <c r="AQ133">
        <v>7</v>
      </c>
      <c r="AR133">
        <v>33</v>
      </c>
      <c r="AS133">
        <v>48</v>
      </c>
      <c r="AT133">
        <v>12</v>
      </c>
      <c r="AU133">
        <v>27</v>
      </c>
      <c r="AV133">
        <v>20</v>
      </c>
      <c r="AW133">
        <v>16</v>
      </c>
      <c r="AX133">
        <v>26</v>
      </c>
      <c r="AY133">
        <v>3</v>
      </c>
      <c r="AZ133">
        <v>14</v>
      </c>
      <c r="BA133">
        <v>37</v>
      </c>
      <c r="BB133">
        <v>8</v>
      </c>
      <c r="BC133">
        <v>13</v>
      </c>
      <c r="BD133">
        <v>17</v>
      </c>
      <c r="BE133">
        <v>5</v>
      </c>
      <c r="BF133">
        <v>101139</v>
      </c>
      <c r="BG133">
        <v>5379</v>
      </c>
    </row>
    <row r="134" spans="1:59" x14ac:dyDescent="0.3">
      <c r="A134" s="3">
        <v>45424</v>
      </c>
      <c r="B134" t="s">
        <v>64</v>
      </c>
      <c r="C134">
        <v>5</v>
      </c>
      <c r="D134">
        <v>766</v>
      </c>
      <c r="E134">
        <v>690</v>
      </c>
      <c r="F134">
        <v>26</v>
      </c>
      <c r="G134">
        <v>43</v>
      </c>
      <c r="H134">
        <v>44</v>
      </c>
      <c r="I134">
        <v>10</v>
      </c>
      <c r="J134">
        <v>6</v>
      </c>
      <c r="K134">
        <v>4</v>
      </c>
      <c r="L134">
        <v>21</v>
      </c>
      <c r="M134">
        <v>33</v>
      </c>
      <c r="N134">
        <v>2</v>
      </c>
      <c r="O134">
        <v>34</v>
      </c>
      <c r="P134">
        <v>16</v>
      </c>
      <c r="Q134">
        <v>4</v>
      </c>
      <c r="R134">
        <v>19</v>
      </c>
      <c r="S134">
        <v>16</v>
      </c>
      <c r="T134">
        <v>33</v>
      </c>
      <c r="U134">
        <v>46</v>
      </c>
      <c r="V134">
        <v>21</v>
      </c>
      <c r="W134">
        <v>8</v>
      </c>
      <c r="X134">
        <v>23</v>
      </c>
      <c r="Y134">
        <v>9</v>
      </c>
      <c r="Z134">
        <v>27</v>
      </c>
      <c r="AA134">
        <v>42</v>
      </c>
      <c r="AB134">
        <v>29</v>
      </c>
      <c r="AC134">
        <v>39</v>
      </c>
      <c r="AD134">
        <v>18</v>
      </c>
      <c r="AE134">
        <v>45</v>
      </c>
      <c r="AF134">
        <v>11</v>
      </c>
      <c r="AG134">
        <v>42</v>
      </c>
      <c r="AH134">
        <v>5</v>
      </c>
      <c r="AI134">
        <v>35</v>
      </c>
      <c r="AJ134">
        <v>44</v>
      </c>
      <c r="AK134">
        <v>18</v>
      </c>
      <c r="AL134">
        <v>0</v>
      </c>
      <c r="AM134">
        <v>34</v>
      </c>
      <c r="AN134">
        <v>28</v>
      </c>
      <c r="AO134">
        <v>25</v>
      </c>
      <c r="AP134">
        <v>20</v>
      </c>
      <c r="AQ134">
        <v>44</v>
      </c>
      <c r="AR134">
        <v>33</v>
      </c>
      <c r="AS134">
        <v>27</v>
      </c>
      <c r="AT134">
        <v>30</v>
      </c>
      <c r="AU134">
        <v>12</v>
      </c>
      <c r="AV134">
        <v>14</v>
      </c>
      <c r="AW134">
        <v>8</v>
      </c>
      <c r="AX134">
        <v>42</v>
      </c>
      <c r="AY134">
        <v>30</v>
      </c>
      <c r="AZ134">
        <v>31</v>
      </c>
      <c r="BA134">
        <v>21</v>
      </c>
      <c r="BB134">
        <v>2</v>
      </c>
      <c r="BC134">
        <v>43</v>
      </c>
      <c r="BD134">
        <v>16</v>
      </c>
      <c r="BE134">
        <v>44</v>
      </c>
      <c r="BF134">
        <v>101690</v>
      </c>
      <c r="BG134">
        <v>5391</v>
      </c>
    </row>
    <row r="135" spans="1:59" x14ac:dyDescent="0.3">
      <c r="A135" s="3">
        <v>45425</v>
      </c>
      <c r="B135" t="s">
        <v>64</v>
      </c>
      <c r="C135">
        <v>5</v>
      </c>
      <c r="D135">
        <v>768</v>
      </c>
      <c r="E135">
        <v>691</v>
      </c>
      <c r="F135">
        <v>47</v>
      </c>
      <c r="G135">
        <v>3</v>
      </c>
      <c r="H135">
        <v>40</v>
      </c>
      <c r="I135">
        <v>7</v>
      </c>
      <c r="J135">
        <v>5</v>
      </c>
      <c r="K135">
        <v>20</v>
      </c>
      <c r="L135">
        <v>27</v>
      </c>
      <c r="M135">
        <v>9</v>
      </c>
      <c r="N135">
        <v>28</v>
      </c>
      <c r="O135">
        <v>0</v>
      </c>
      <c r="P135">
        <v>26</v>
      </c>
      <c r="Q135">
        <v>26</v>
      </c>
      <c r="R135">
        <v>44</v>
      </c>
      <c r="S135">
        <v>7</v>
      </c>
      <c r="T135">
        <v>42</v>
      </c>
      <c r="U135">
        <v>47</v>
      </c>
      <c r="V135">
        <v>33</v>
      </c>
      <c r="W135">
        <v>2</v>
      </c>
      <c r="X135">
        <v>6</v>
      </c>
      <c r="Y135">
        <v>17</v>
      </c>
      <c r="Z135">
        <v>13</v>
      </c>
      <c r="AA135">
        <v>32</v>
      </c>
      <c r="AB135">
        <v>22</v>
      </c>
      <c r="AC135">
        <v>8</v>
      </c>
      <c r="AD135">
        <v>15</v>
      </c>
      <c r="AE135">
        <v>24</v>
      </c>
      <c r="AF135">
        <v>36</v>
      </c>
      <c r="AG135">
        <v>29</v>
      </c>
      <c r="AH135">
        <v>4</v>
      </c>
      <c r="AI135">
        <v>48</v>
      </c>
      <c r="AJ135">
        <v>17</v>
      </c>
      <c r="AK135">
        <v>40</v>
      </c>
      <c r="AL135">
        <v>49</v>
      </c>
      <c r="AM135">
        <v>8</v>
      </c>
      <c r="AN135">
        <v>16</v>
      </c>
      <c r="AO135">
        <v>37</v>
      </c>
      <c r="AP135">
        <v>43</v>
      </c>
      <c r="AQ135">
        <v>14</v>
      </c>
      <c r="AR135">
        <v>46</v>
      </c>
      <c r="AS135">
        <v>40</v>
      </c>
      <c r="AT135">
        <v>28</v>
      </c>
      <c r="AU135">
        <v>41</v>
      </c>
      <c r="AV135">
        <v>43</v>
      </c>
      <c r="AW135">
        <v>27</v>
      </c>
      <c r="AX135">
        <v>46</v>
      </c>
      <c r="AY135">
        <v>11</v>
      </c>
      <c r="AZ135">
        <v>43</v>
      </c>
      <c r="BA135">
        <v>10</v>
      </c>
      <c r="BB135">
        <v>49</v>
      </c>
      <c r="BC135">
        <v>36</v>
      </c>
      <c r="BD135">
        <v>10</v>
      </c>
      <c r="BE135">
        <v>12</v>
      </c>
      <c r="BF135">
        <v>102241</v>
      </c>
      <c r="BG135">
        <v>5403</v>
      </c>
    </row>
    <row r="136" spans="1:59" x14ac:dyDescent="0.3">
      <c r="A136" s="3">
        <v>45426</v>
      </c>
      <c r="B136" t="s">
        <v>64</v>
      </c>
      <c r="C136">
        <v>5</v>
      </c>
      <c r="D136">
        <v>770</v>
      </c>
      <c r="E136">
        <v>691</v>
      </c>
      <c r="F136">
        <v>21</v>
      </c>
      <c r="G136">
        <v>18</v>
      </c>
      <c r="H136">
        <v>9</v>
      </c>
      <c r="I136">
        <v>18</v>
      </c>
      <c r="J136">
        <v>27</v>
      </c>
      <c r="K136">
        <v>34</v>
      </c>
      <c r="L136">
        <v>13</v>
      </c>
      <c r="M136">
        <v>19</v>
      </c>
      <c r="N136">
        <v>4</v>
      </c>
      <c r="O136">
        <v>9</v>
      </c>
      <c r="P136">
        <v>33</v>
      </c>
      <c r="Q136">
        <v>39</v>
      </c>
      <c r="R136">
        <v>48</v>
      </c>
      <c r="S136">
        <v>34</v>
      </c>
      <c r="T136">
        <v>20</v>
      </c>
      <c r="U136">
        <v>13</v>
      </c>
      <c r="V136">
        <v>45</v>
      </c>
      <c r="W136">
        <v>24</v>
      </c>
      <c r="X136">
        <v>21</v>
      </c>
      <c r="Y136">
        <v>48</v>
      </c>
      <c r="Z136">
        <v>17</v>
      </c>
      <c r="AA136">
        <v>41</v>
      </c>
      <c r="AB136">
        <v>30</v>
      </c>
      <c r="AC136">
        <v>25</v>
      </c>
      <c r="AD136">
        <v>5</v>
      </c>
      <c r="AE136">
        <v>10</v>
      </c>
      <c r="AF136">
        <v>26</v>
      </c>
      <c r="AG136">
        <v>39</v>
      </c>
      <c r="AH136">
        <v>27</v>
      </c>
      <c r="AI136">
        <v>20</v>
      </c>
      <c r="AJ136">
        <v>26</v>
      </c>
      <c r="AK136">
        <v>6</v>
      </c>
      <c r="AL136">
        <v>42</v>
      </c>
      <c r="AM136">
        <v>0</v>
      </c>
      <c r="AN136">
        <v>42</v>
      </c>
      <c r="AO136">
        <v>44</v>
      </c>
      <c r="AP136">
        <v>21</v>
      </c>
      <c r="AQ136">
        <v>46</v>
      </c>
      <c r="AR136">
        <v>17</v>
      </c>
      <c r="AS136">
        <v>4</v>
      </c>
      <c r="AT136">
        <v>35</v>
      </c>
      <c r="AU136">
        <v>11</v>
      </c>
      <c r="AV136">
        <v>20</v>
      </c>
      <c r="AW136">
        <v>38</v>
      </c>
      <c r="AX136">
        <v>18</v>
      </c>
      <c r="AY136">
        <v>20</v>
      </c>
      <c r="AZ136">
        <v>28</v>
      </c>
      <c r="BA136">
        <v>40</v>
      </c>
      <c r="BB136">
        <v>46</v>
      </c>
      <c r="BC136">
        <v>45</v>
      </c>
      <c r="BD136">
        <v>26</v>
      </c>
      <c r="BE136">
        <v>14</v>
      </c>
      <c r="BF136">
        <v>102791</v>
      </c>
      <c r="BG136">
        <v>5415</v>
      </c>
    </row>
    <row r="137" spans="1:59" x14ac:dyDescent="0.3">
      <c r="A137" s="3">
        <v>45427</v>
      </c>
      <c r="B137" t="s">
        <v>64</v>
      </c>
      <c r="C137">
        <v>5</v>
      </c>
      <c r="D137">
        <v>771</v>
      </c>
      <c r="E137">
        <v>692</v>
      </c>
      <c r="F137">
        <v>10</v>
      </c>
      <c r="G137">
        <v>45</v>
      </c>
      <c r="H137">
        <v>35</v>
      </c>
      <c r="I137">
        <v>9</v>
      </c>
      <c r="J137">
        <v>48</v>
      </c>
      <c r="K137">
        <v>30</v>
      </c>
      <c r="L137">
        <v>37</v>
      </c>
      <c r="M137">
        <v>29</v>
      </c>
      <c r="N137">
        <v>12</v>
      </c>
      <c r="O137">
        <v>7</v>
      </c>
      <c r="P137">
        <v>33</v>
      </c>
      <c r="Q137">
        <v>37</v>
      </c>
      <c r="R137">
        <v>18</v>
      </c>
      <c r="S137">
        <v>44</v>
      </c>
      <c r="T137">
        <v>36</v>
      </c>
      <c r="U137">
        <v>40</v>
      </c>
      <c r="V137">
        <v>8</v>
      </c>
      <c r="W137">
        <v>22</v>
      </c>
      <c r="X137">
        <v>48</v>
      </c>
      <c r="Y137">
        <v>8</v>
      </c>
      <c r="Z137">
        <v>40</v>
      </c>
      <c r="AA137">
        <v>24</v>
      </c>
      <c r="AB137">
        <v>17</v>
      </c>
      <c r="AC137">
        <v>8</v>
      </c>
      <c r="AD137">
        <v>29</v>
      </c>
      <c r="AE137">
        <v>4</v>
      </c>
      <c r="AF137">
        <v>46</v>
      </c>
      <c r="AG137">
        <v>40</v>
      </c>
      <c r="AH137">
        <v>6</v>
      </c>
      <c r="AI137">
        <v>46</v>
      </c>
      <c r="AJ137">
        <v>16</v>
      </c>
      <c r="AK137">
        <v>40</v>
      </c>
      <c r="AL137">
        <v>5</v>
      </c>
      <c r="AM137">
        <v>47</v>
      </c>
      <c r="AN137">
        <v>46</v>
      </c>
      <c r="AO137">
        <v>44</v>
      </c>
      <c r="AP137">
        <v>31</v>
      </c>
      <c r="AQ137">
        <v>45</v>
      </c>
      <c r="AR137">
        <v>29</v>
      </c>
      <c r="AS137">
        <v>49</v>
      </c>
      <c r="AT137">
        <v>18</v>
      </c>
      <c r="AU137">
        <v>43</v>
      </c>
      <c r="AV137">
        <v>39</v>
      </c>
      <c r="AW137">
        <v>40</v>
      </c>
      <c r="AX137">
        <v>16</v>
      </c>
      <c r="AY137">
        <v>36</v>
      </c>
      <c r="AZ137">
        <v>45</v>
      </c>
      <c r="BA137">
        <v>9</v>
      </c>
      <c r="BB137">
        <v>34</v>
      </c>
      <c r="BC137">
        <v>46</v>
      </c>
      <c r="BD137">
        <v>13</v>
      </c>
      <c r="BE137">
        <v>37</v>
      </c>
      <c r="BF137">
        <v>103342</v>
      </c>
      <c r="BG137">
        <v>5427</v>
      </c>
    </row>
    <row r="138" spans="1:59" x14ac:dyDescent="0.3">
      <c r="A138" s="3">
        <v>45428</v>
      </c>
      <c r="B138" t="s">
        <v>64</v>
      </c>
      <c r="C138">
        <v>5</v>
      </c>
      <c r="D138">
        <v>773</v>
      </c>
      <c r="E138">
        <v>693</v>
      </c>
      <c r="F138">
        <v>49</v>
      </c>
      <c r="G138">
        <v>8</v>
      </c>
      <c r="H138">
        <v>24</v>
      </c>
      <c r="I138">
        <v>20</v>
      </c>
      <c r="J138">
        <v>40</v>
      </c>
      <c r="K138">
        <v>39</v>
      </c>
      <c r="L138">
        <v>0</v>
      </c>
      <c r="M138">
        <v>5</v>
      </c>
      <c r="N138">
        <v>25</v>
      </c>
      <c r="O138">
        <v>19</v>
      </c>
      <c r="P138">
        <v>36</v>
      </c>
      <c r="Q138">
        <v>3</v>
      </c>
      <c r="R138">
        <v>20</v>
      </c>
      <c r="S138">
        <v>18</v>
      </c>
      <c r="T138">
        <v>29</v>
      </c>
      <c r="U138">
        <v>24</v>
      </c>
      <c r="V138">
        <v>30</v>
      </c>
      <c r="W138">
        <v>21</v>
      </c>
      <c r="X138">
        <v>28</v>
      </c>
      <c r="Y138">
        <v>17</v>
      </c>
      <c r="Z138">
        <v>41</v>
      </c>
      <c r="AA138">
        <v>9</v>
      </c>
      <c r="AB138">
        <v>29</v>
      </c>
      <c r="AC138">
        <v>33</v>
      </c>
      <c r="AD138">
        <v>33</v>
      </c>
      <c r="AE138">
        <v>12</v>
      </c>
      <c r="AF138">
        <v>45</v>
      </c>
      <c r="AG138">
        <v>32</v>
      </c>
      <c r="AH138">
        <v>3</v>
      </c>
      <c r="AI138">
        <v>34</v>
      </c>
      <c r="AJ138">
        <v>8</v>
      </c>
      <c r="AK138">
        <v>41</v>
      </c>
      <c r="AL138">
        <v>25</v>
      </c>
      <c r="AM138">
        <v>19</v>
      </c>
      <c r="AN138">
        <v>34</v>
      </c>
      <c r="AO138">
        <v>33</v>
      </c>
      <c r="AP138">
        <v>8</v>
      </c>
      <c r="AQ138">
        <v>30</v>
      </c>
      <c r="AR138">
        <v>23</v>
      </c>
      <c r="AS138">
        <v>1</v>
      </c>
      <c r="AT138">
        <v>6</v>
      </c>
      <c r="AU138">
        <v>29</v>
      </c>
      <c r="AV138">
        <v>40</v>
      </c>
      <c r="AW138">
        <v>12</v>
      </c>
      <c r="AX138">
        <v>1</v>
      </c>
      <c r="AY138">
        <v>7</v>
      </c>
      <c r="AZ138">
        <v>25</v>
      </c>
      <c r="BA138">
        <v>37</v>
      </c>
      <c r="BB138">
        <v>35</v>
      </c>
      <c r="BC138">
        <v>43</v>
      </c>
      <c r="BD138">
        <v>46</v>
      </c>
      <c r="BE138">
        <v>27</v>
      </c>
      <c r="BF138">
        <v>103893</v>
      </c>
      <c r="BG138">
        <v>5439</v>
      </c>
    </row>
    <row r="139" spans="1:59" x14ac:dyDescent="0.3">
      <c r="A139" s="3">
        <v>45429</v>
      </c>
      <c r="B139" t="s">
        <v>64</v>
      </c>
      <c r="C139">
        <v>5</v>
      </c>
      <c r="D139">
        <v>775</v>
      </c>
      <c r="E139">
        <v>693</v>
      </c>
      <c r="F139">
        <v>8</v>
      </c>
      <c r="G139">
        <v>5</v>
      </c>
      <c r="H139">
        <v>39</v>
      </c>
      <c r="I139">
        <v>13</v>
      </c>
      <c r="J139">
        <v>11</v>
      </c>
      <c r="K139">
        <v>1</v>
      </c>
      <c r="L139">
        <v>13</v>
      </c>
      <c r="M139">
        <v>25</v>
      </c>
      <c r="N139">
        <v>22</v>
      </c>
      <c r="O139">
        <v>12</v>
      </c>
      <c r="P139">
        <v>30</v>
      </c>
      <c r="Q139">
        <v>42</v>
      </c>
      <c r="R139">
        <v>42</v>
      </c>
      <c r="S139">
        <v>38</v>
      </c>
      <c r="T139">
        <v>23</v>
      </c>
      <c r="U139">
        <v>5</v>
      </c>
      <c r="V139">
        <v>46</v>
      </c>
      <c r="W139">
        <v>34</v>
      </c>
      <c r="X139">
        <v>29</v>
      </c>
      <c r="Y139">
        <v>49</v>
      </c>
      <c r="Z139">
        <v>21</v>
      </c>
      <c r="AA139">
        <v>47</v>
      </c>
      <c r="AB139">
        <v>10</v>
      </c>
      <c r="AC139">
        <v>2</v>
      </c>
      <c r="AD139">
        <v>2</v>
      </c>
      <c r="AE139">
        <v>20</v>
      </c>
      <c r="AF139">
        <v>39</v>
      </c>
      <c r="AG139">
        <v>40</v>
      </c>
      <c r="AH139">
        <v>25</v>
      </c>
      <c r="AI139">
        <v>35</v>
      </c>
      <c r="AJ139">
        <v>44</v>
      </c>
      <c r="AK139">
        <v>22</v>
      </c>
      <c r="AL139">
        <v>41</v>
      </c>
      <c r="AM139">
        <v>22</v>
      </c>
      <c r="AN139">
        <v>12</v>
      </c>
      <c r="AO139">
        <v>0</v>
      </c>
      <c r="AP139">
        <v>15</v>
      </c>
      <c r="AQ139">
        <v>11</v>
      </c>
      <c r="AR139">
        <v>30</v>
      </c>
      <c r="AS139">
        <v>41</v>
      </c>
      <c r="AT139">
        <v>36</v>
      </c>
      <c r="AU139">
        <v>47</v>
      </c>
      <c r="AV139">
        <v>26</v>
      </c>
      <c r="AW139">
        <v>2</v>
      </c>
      <c r="AX139">
        <v>42</v>
      </c>
      <c r="AY139">
        <v>23</v>
      </c>
      <c r="AZ139">
        <v>43</v>
      </c>
      <c r="BA139">
        <v>9</v>
      </c>
      <c r="BB139">
        <v>3</v>
      </c>
      <c r="BC139">
        <v>6</v>
      </c>
      <c r="BD139">
        <v>23</v>
      </c>
      <c r="BE139">
        <v>48</v>
      </c>
      <c r="BF139">
        <v>104443</v>
      </c>
      <c r="BG139">
        <v>5451</v>
      </c>
    </row>
    <row r="140" spans="1:59" x14ac:dyDescent="0.3">
      <c r="A140" s="3">
        <v>45430</v>
      </c>
      <c r="B140" t="s">
        <v>64</v>
      </c>
      <c r="C140">
        <v>5</v>
      </c>
      <c r="D140">
        <v>776</v>
      </c>
      <c r="E140">
        <v>694</v>
      </c>
      <c r="F140">
        <v>6</v>
      </c>
      <c r="G140">
        <v>38</v>
      </c>
      <c r="H140">
        <v>12</v>
      </c>
      <c r="I140">
        <v>41</v>
      </c>
      <c r="J140">
        <v>40</v>
      </c>
      <c r="K140">
        <v>37</v>
      </c>
      <c r="L140">
        <v>9</v>
      </c>
      <c r="M140">
        <v>27</v>
      </c>
      <c r="N140">
        <v>18</v>
      </c>
      <c r="O140">
        <v>10</v>
      </c>
      <c r="P140">
        <v>24</v>
      </c>
      <c r="Q140">
        <v>7</v>
      </c>
      <c r="R140">
        <v>46</v>
      </c>
      <c r="S140">
        <v>3</v>
      </c>
      <c r="T140">
        <v>26</v>
      </c>
      <c r="U140">
        <v>35</v>
      </c>
      <c r="V140">
        <v>44</v>
      </c>
      <c r="W140">
        <v>1</v>
      </c>
      <c r="X140">
        <v>26</v>
      </c>
      <c r="Y140">
        <v>45</v>
      </c>
      <c r="Z140">
        <v>2</v>
      </c>
      <c r="AA140">
        <v>46</v>
      </c>
      <c r="AB140">
        <v>43</v>
      </c>
      <c r="AC140">
        <v>28</v>
      </c>
      <c r="AD140">
        <v>27</v>
      </c>
      <c r="AE140">
        <v>27</v>
      </c>
      <c r="AF140">
        <v>0</v>
      </c>
      <c r="AG140">
        <v>1</v>
      </c>
      <c r="AH140">
        <v>46</v>
      </c>
      <c r="AI140">
        <v>37</v>
      </c>
      <c r="AJ140">
        <v>37</v>
      </c>
      <c r="AK140">
        <v>33</v>
      </c>
      <c r="AL140">
        <v>8</v>
      </c>
      <c r="AM140">
        <v>10</v>
      </c>
      <c r="AN140">
        <v>9</v>
      </c>
      <c r="AO140">
        <v>11</v>
      </c>
      <c r="AP140">
        <v>41</v>
      </c>
      <c r="AQ140">
        <v>12</v>
      </c>
      <c r="AR140">
        <v>44</v>
      </c>
      <c r="AS140">
        <v>15</v>
      </c>
      <c r="AT140">
        <v>43</v>
      </c>
      <c r="AU140">
        <v>0</v>
      </c>
      <c r="AV140">
        <v>36</v>
      </c>
      <c r="AW140">
        <v>49</v>
      </c>
      <c r="AX140">
        <v>46</v>
      </c>
      <c r="AY140">
        <v>4</v>
      </c>
      <c r="AZ140">
        <v>48</v>
      </c>
      <c r="BA140">
        <v>12</v>
      </c>
      <c r="BB140">
        <v>3</v>
      </c>
      <c r="BC140">
        <v>21</v>
      </c>
      <c r="BD140">
        <v>2</v>
      </c>
      <c r="BE140">
        <v>25</v>
      </c>
      <c r="BF140">
        <v>104994</v>
      </c>
      <c r="BG140">
        <v>5463</v>
      </c>
    </row>
    <row r="141" spans="1:59" x14ac:dyDescent="0.3">
      <c r="A141" s="3">
        <v>45431</v>
      </c>
      <c r="B141" t="s">
        <v>64</v>
      </c>
      <c r="C141">
        <v>5</v>
      </c>
      <c r="D141">
        <v>778</v>
      </c>
      <c r="E141">
        <v>695</v>
      </c>
      <c r="F141">
        <v>38</v>
      </c>
      <c r="G141">
        <v>40</v>
      </c>
      <c r="H141">
        <v>39</v>
      </c>
      <c r="I141">
        <v>29</v>
      </c>
      <c r="J141">
        <v>2</v>
      </c>
      <c r="K141">
        <v>32</v>
      </c>
      <c r="L141">
        <v>6</v>
      </c>
      <c r="M141">
        <v>46</v>
      </c>
      <c r="N141">
        <v>20</v>
      </c>
      <c r="O141">
        <v>6</v>
      </c>
      <c r="P141">
        <v>4</v>
      </c>
      <c r="Q141">
        <v>3</v>
      </c>
      <c r="R141">
        <v>28</v>
      </c>
      <c r="S141">
        <v>2</v>
      </c>
      <c r="T141">
        <v>45</v>
      </c>
      <c r="U141">
        <v>13</v>
      </c>
      <c r="V141">
        <v>37</v>
      </c>
      <c r="W141">
        <v>48</v>
      </c>
      <c r="X141">
        <v>49</v>
      </c>
      <c r="Y141">
        <v>7</v>
      </c>
      <c r="Z141">
        <v>21</v>
      </c>
      <c r="AA141">
        <v>33</v>
      </c>
      <c r="AB141">
        <v>38</v>
      </c>
      <c r="AC141">
        <v>6</v>
      </c>
      <c r="AD141">
        <v>37</v>
      </c>
      <c r="AE141">
        <v>0</v>
      </c>
      <c r="AF141">
        <v>33</v>
      </c>
      <c r="AG141">
        <v>44</v>
      </c>
      <c r="AH141">
        <v>16</v>
      </c>
      <c r="AI141">
        <v>48</v>
      </c>
      <c r="AJ141">
        <v>29</v>
      </c>
      <c r="AK141">
        <v>24</v>
      </c>
      <c r="AL141">
        <v>15</v>
      </c>
      <c r="AM141">
        <v>49</v>
      </c>
      <c r="AN141">
        <v>39</v>
      </c>
      <c r="AO141">
        <v>32</v>
      </c>
      <c r="AP141">
        <v>31</v>
      </c>
      <c r="AQ141">
        <v>46</v>
      </c>
      <c r="AR141">
        <v>28</v>
      </c>
      <c r="AS141">
        <v>37</v>
      </c>
      <c r="AT141">
        <v>4</v>
      </c>
      <c r="AU141">
        <v>23</v>
      </c>
      <c r="AV141">
        <v>12</v>
      </c>
      <c r="AW141">
        <v>10</v>
      </c>
      <c r="AX141">
        <v>20</v>
      </c>
      <c r="AY141">
        <v>16</v>
      </c>
      <c r="AZ141">
        <v>20</v>
      </c>
      <c r="BA141">
        <v>21</v>
      </c>
      <c r="BB141">
        <v>43</v>
      </c>
      <c r="BC141">
        <v>28</v>
      </c>
      <c r="BD141">
        <v>12</v>
      </c>
      <c r="BE141">
        <v>41</v>
      </c>
      <c r="BF141">
        <v>105545</v>
      </c>
      <c r="BG141">
        <v>5475</v>
      </c>
    </row>
    <row r="142" spans="1:59" x14ac:dyDescent="0.3">
      <c r="A142" s="3">
        <v>45432</v>
      </c>
      <c r="B142" t="s">
        <v>64</v>
      </c>
      <c r="C142">
        <v>5</v>
      </c>
      <c r="D142">
        <v>780</v>
      </c>
      <c r="E142">
        <v>695</v>
      </c>
      <c r="F142">
        <v>25</v>
      </c>
      <c r="G142">
        <v>22</v>
      </c>
      <c r="H142">
        <v>24</v>
      </c>
      <c r="I142">
        <v>41</v>
      </c>
      <c r="J142">
        <v>8</v>
      </c>
      <c r="K142">
        <v>38</v>
      </c>
      <c r="L142">
        <v>49</v>
      </c>
      <c r="M142">
        <v>27</v>
      </c>
      <c r="N142">
        <v>32</v>
      </c>
      <c r="O142">
        <v>27</v>
      </c>
      <c r="P142">
        <v>29</v>
      </c>
      <c r="Q142">
        <v>22</v>
      </c>
      <c r="R142">
        <v>39</v>
      </c>
      <c r="S142">
        <v>49</v>
      </c>
      <c r="T142">
        <v>21</v>
      </c>
      <c r="U142">
        <v>24</v>
      </c>
      <c r="V142">
        <v>28</v>
      </c>
      <c r="W142">
        <v>13</v>
      </c>
      <c r="X142">
        <v>38</v>
      </c>
      <c r="Y142">
        <v>11</v>
      </c>
      <c r="Z142">
        <v>11</v>
      </c>
      <c r="AA142">
        <v>44</v>
      </c>
      <c r="AB142">
        <v>31</v>
      </c>
      <c r="AC142">
        <v>47</v>
      </c>
      <c r="AD142">
        <v>7</v>
      </c>
      <c r="AE142">
        <v>39</v>
      </c>
      <c r="AF142">
        <v>41</v>
      </c>
      <c r="AG142">
        <v>29</v>
      </c>
      <c r="AH142">
        <v>18</v>
      </c>
      <c r="AI142">
        <v>14</v>
      </c>
      <c r="AJ142">
        <v>34</v>
      </c>
      <c r="AK142">
        <v>4</v>
      </c>
      <c r="AL142">
        <v>27</v>
      </c>
      <c r="AM142">
        <v>46</v>
      </c>
      <c r="AN142">
        <v>24</v>
      </c>
      <c r="AO142">
        <v>7</v>
      </c>
      <c r="AP142">
        <v>33</v>
      </c>
      <c r="AQ142">
        <v>18</v>
      </c>
      <c r="AR142">
        <v>9</v>
      </c>
      <c r="AS142">
        <v>32</v>
      </c>
      <c r="AT142">
        <v>39</v>
      </c>
      <c r="AU142">
        <v>36</v>
      </c>
      <c r="AV142">
        <v>6</v>
      </c>
      <c r="AW142">
        <v>43</v>
      </c>
      <c r="AX142">
        <v>0</v>
      </c>
      <c r="AY142">
        <v>41</v>
      </c>
      <c r="AZ142">
        <v>4</v>
      </c>
      <c r="BA142">
        <v>4</v>
      </c>
      <c r="BB142">
        <v>39</v>
      </c>
      <c r="BC142">
        <v>7</v>
      </c>
      <c r="BD142">
        <v>2</v>
      </c>
      <c r="BE142">
        <v>21</v>
      </c>
      <c r="BF142">
        <v>106095</v>
      </c>
      <c r="BG142">
        <v>5487</v>
      </c>
    </row>
    <row r="143" spans="1:59" x14ac:dyDescent="0.3">
      <c r="A143" s="3">
        <v>45433</v>
      </c>
      <c r="B143" t="s">
        <v>64</v>
      </c>
      <c r="C143">
        <v>5</v>
      </c>
      <c r="D143">
        <v>781</v>
      </c>
      <c r="E143">
        <v>696</v>
      </c>
      <c r="F143">
        <v>3</v>
      </c>
      <c r="G143">
        <v>41</v>
      </c>
      <c r="H143">
        <v>37</v>
      </c>
      <c r="I143">
        <v>30</v>
      </c>
      <c r="J143">
        <v>17</v>
      </c>
      <c r="K143">
        <v>31</v>
      </c>
      <c r="L143">
        <v>37</v>
      </c>
      <c r="M143">
        <v>25</v>
      </c>
      <c r="N143">
        <v>3</v>
      </c>
      <c r="O143">
        <v>43</v>
      </c>
      <c r="P143">
        <v>29</v>
      </c>
      <c r="Q143">
        <v>13</v>
      </c>
      <c r="R143">
        <v>44</v>
      </c>
      <c r="S143">
        <v>44</v>
      </c>
      <c r="T143">
        <v>47</v>
      </c>
      <c r="U143">
        <v>28</v>
      </c>
      <c r="V143">
        <v>43</v>
      </c>
      <c r="W143">
        <v>19</v>
      </c>
      <c r="X143">
        <v>20</v>
      </c>
      <c r="Y143">
        <v>39</v>
      </c>
      <c r="Z143">
        <v>8</v>
      </c>
      <c r="AA143">
        <v>31</v>
      </c>
      <c r="AB143">
        <v>43</v>
      </c>
      <c r="AC143">
        <v>24</v>
      </c>
      <c r="AD143">
        <v>18</v>
      </c>
      <c r="AE143">
        <v>48</v>
      </c>
      <c r="AF143">
        <v>15</v>
      </c>
      <c r="AG143">
        <v>25</v>
      </c>
      <c r="AH143">
        <v>10</v>
      </c>
      <c r="AI143">
        <v>33</v>
      </c>
      <c r="AJ143">
        <v>47</v>
      </c>
      <c r="AK143">
        <v>6</v>
      </c>
      <c r="AL143">
        <v>30</v>
      </c>
      <c r="AM143">
        <v>43</v>
      </c>
      <c r="AN143">
        <v>28</v>
      </c>
      <c r="AO143">
        <v>6</v>
      </c>
      <c r="AP143">
        <v>18</v>
      </c>
      <c r="AQ143">
        <v>48</v>
      </c>
      <c r="AR143">
        <v>3</v>
      </c>
      <c r="AS143">
        <v>38</v>
      </c>
      <c r="AT143">
        <v>24</v>
      </c>
      <c r="AU143">
        <v>1</v>
      </c>
      <c r="AV143">
        <v>11</v>
      </c>
      <c r="AW143">
        <v>33</v>
      </c>
      <c r="AX143">
        <v>17</v>
      </c>
      <c r="AY143">
        <v>49</v>
      </c>
      <c r="AZ143">
        <v>27</v>
      </c>
      <c r="BA143">
        <v>26</v>
      </c>
      <c r="BB143">
        <v>8</v>
      </c>
      <c r="BC143">
        <v>11</v>
      </c>
      <c r="BD143">
        <v>41</v>
      </c>
      <c r="BE143">
        <v>43</v>
      </c>
      <c r="BF143">
        <v>106646</v>
      </c>
      <c r="BG143">
        <v>5499</v>
      </c>
    </row>
    <row r="144" spans="1:59" x14ac:dyDescent="0.3">
      <c r="A144" s="3">
        <v>45434</v>
      </c>
      <c r="B144" t="s">
        <v>64</v>
      </c>
      <c r="C144">
        <v>5</v>
      </c>
      <c r="D144">
        <v>783</v>
      </c>
      <c r="E144">
        <v>697</v>
      </c>
      <c r="F144">
        <v>23</v>
      </c>
      <c r="G144">
        <v>6</v>
      </c>
      <c r="H144">
        <v>49</v>
      </c>
      <c r="I144">
        <v>36</v>
      </c>
      <c r="J144">
        <v>30</v>
      </c>
      <c r="K144">
        <v>7</v>
      </c>
      <c r="L144">
        <v>16</v>
      </c>
      <c r="M144">
        <v>0</v>
      </c>
      <c r="N144">
        <v>44</v>
      </c>
      <c r="O144">
        <v>21</v>
      </c>
      <c r="P144">
        <v>27</v>
      </c>
      <c r="Q144">
        <v>20</v>
      </c>
      <c r="R144">
        <v>40</v>
      </c>
      <c r="S144">
        <v>8</v>
      </c>
      <c r="T144">
        <v>10</v>
      </c>
      <c r="U144">
        <v>16</v>
      </c>
      <c r="V144">
        <v>35</v>
      </c>
      <c r="W144">
        <v>15</v>
      </c>
      <c r="X144">
        <v>27</v>
      </c>
      <c r="Y144">
        <v>31</v>
      </c>
      <c r="Z144">
        <v>20</v>
      </c>
      <c r="AA144">
        <v>8</v>
      </c>
      <c r="AB144">
        <v>22</v>
      </c>
      <c r="AC144">
        <v>2</v>
      </c>
      <c r="AD144">
        <v>24</v>
      </c>
      <c r="AE144">
        <v>26</v>
      </c>
      <c r="AF144">
        <v>20</v>
      </c>
      <c r="AG144">
        <v>47</v>
      </c>
      <c r="AH144">
        <v>26</v>
      </c>
      <c r="AI144">
        <v>36</v>
      </c>
      <c r="AJ144">
        <v>15</v>
      </c>
      <c r="AK144">
        <v>15</v>
      </c>
      <c r="AL144">
        <v>32</v>
      </c>
      <c r="AM144">
        <v>1</v>
      </c>
      <c r="AN144">
        <v>18</v>
      </c>
      <c r="AO144">
        <v>42</v>
      </c>
      <c r="AP144">
        <v>10</v>
      </c>
      <c r="AQ144">
        <v>33</v>
      </c>
      <c r="AR144">
        <v>34</v>
      </c>
      <c r="AS144">
        <v>30</v>
      </c>
      <c r="AT144">
        <v>48</v>
      </c>
      <c r="AU144">
        <v>16</v>
      </c>
      <c r="AV144">
        <v>36</v>
      </c>
      <c r="AW144">
        <v>49</v>
      </c>
      <c r="AX144">
        <v>45</v>
      </c>
      <c r="AY144">
        <v>20</v>
      </c>
      <c r="AZ144">
        <v>0</v>
      </c>
      <c r="BA144">
        <v>47</v>
      </c>
      <c r="BB144">
        <v>19</v>
      </c>
      <c r="BC144">
        <v>33</v>
      </c>
      <c r="BD144">
        <v>29</v>
      </c>
      <c r="BE144">
        <v>18</v>
      </c>
      <c r="BF144">
        <v>107197</v>
      </c>
      <c r="BG144">
        <v>5511</v>
      </c>
    </row>
    <row r="145" spans="1:59" x14ac:dyDescent="0.3">
      <c r="A145" s="3">
        <v>45435</v>
      </c>
      <c r="B145" t="s">
        <v>64</v>
      </c>
      <c r="C145">
        <v>5</v>
      </c>
      <c r="D145">
        <v>785</v>
      </c>
      <c r="E145">
        <v>697</v>
      </c>
      <c r="F145">
        <v>15</v>
      </c>
      <c r="G145">
        <v>41</v>
      </c>
      <c r="H145">
        <v>19</v>
      </c>
      <c r="I145">
        <v>49</v>
      </c>
      <c r="J145">
        <v>42</v>
      </c>
      <c r="K145">
        <v>3</v>
      </c>
      <c r="L145">
        <v>3</v>
      </c>
      <c r="M145">
        <v>17</v>
      </c>
      <c r="N145">
        <v>5</v>
      </c>
      <c r="O145">
        <v>7</v>
      </c>
      <c r="P145">
        <v>32</v>
      </c>
      <c r="Q145">
        <v>42</v>
      </c>
      <c r="R145">
        <v>1</v>
      </c>
      <c r="S145">
        <v>17</v>
      </c>
      <c r="T145">
        <v>33</v>
      </c>
      <c r="U145">
        <v>34</v>
      </c>
      <c r="V145">
        <v>2</v>
      </c>
      <c r="W145">
        <v>4</v>
      </c>
      <c r="X145">
        <v>6</v>
      </c>
      <c r="Y145">
        <v>4</v>
      </c>
      <c r="Z145">
        <v>10</v>
      </c>
      <c r="AA145">
        <v>11</v>
      </c>
      <c r="AB145">
        <v>46</v>
      </c>
      <c r="AC145">
        <v>42</v>
      </c>
      <c r="AD145">
        <v>2</v>
      </c>
      <c r="AE145">
        <v>21</v>
      </c>
      <c r="AF145">
        <v>48</v>
      </c>
      <c r="AG145">
        <v>20</v>
      </c>
      <c r="AH145">
        <v>19</v>
      </c>
      <c r="AI145">
        <v>25</v>
      </c>
      <c r="AJ145">
        <v>34</v>
      </c>
      <c r="AK145">
        <v>21</v>
      </c>
      <c r="AL145">
        <v>24</v>
      </c>
      <c r="AM145">
        <v>12</v>
      </c>
      <c r="AN145">
        <v>46</v>
      </c>
      <c r="AO145">
        <v>44</v>
      </c>
      <c r="AP145">
        <v>27</v>
      </c>
      <c r="AQ145">
        <v>45</v>
      </c>
      <c r="AR145">
        <v>6</v>
      </c>
      <c r="AS145">
        <v>45</v>
      </c>
      <c r="AT145">
        <v>1</v>
      </c>
      <c r="AU145">
        <v>49</v>
      </c>
      <c r="AV145">
        <v>5</v>
      </c>
      <c r="AW145">
        <v>8</v>
      </c>
      <c r="AX145">
        <v>14</v>
      </c>
      <c r="AY145">
        <v>19</v>
      </c>
      <c r="AZ145">
        <v>35</v>
      </c>
      <c r="BA145">
        <v>47</v>
      </c>
      <c r="BB145">
        <v>15</v>
      </c>
      <c r="BC145">
        <v>41</v>
      </c>
      <c r="BD145">
        <v>36</v>
      </c>
      <c r="BE145">
        <v>27</v>
      </c>
      <c r="BF145">
        <v>107747</v>
      </c>
      <c r="BG145">
        <v>5523</v>
      </c>
    </row>
    <row r="146" spans="1:59" x14ac:dyDescent="0.3">
      <c r="A146" s="3">
        <v>45436</v>
      </c>
      <c r="B146" t="s">
        <v>64</v>
      </c>
      <c r="C146">
        <v>5</v>
      </c>
      <c r="D146">
        <v>786</v>
      </c>
      <c r="E146">
        <v>698</v>
      </c>
      <c r="F146">
        <v>28</v>
      </c>
      <c r="G146">
        <v>28</v>
      </c>
      <c r="H146">
        <v>43</v>
      </c>
      <c r="I146">
        <v>26</v>
      </c>
      <c r="J146">
        <v>17</v>
      </c>
      <c r="K146">
        <v>8</v>
      </c>
      <c r="L146">
        <v>38</v>
      </c>
      <c r="M146">
        <v>35</v>
      </c>
      <c r="N146">
        <v>37</v>
      </c>
      <c r="O146">
        <v>45</v>
      </c>
      <c r="P146">
        <v>20</v>
      </c>
      <c r="Q146">
        <v>40</v>
      </c>
      <c r="R146">
        <v>0</v>
      </c>
      <c r="S146">
        <v>27</v>
      </c>
      <c r="T146">
        <v>22</v>
      </c>
      <c r="U146">
        <v>32</v>
      </c>
      <c r="V146">
        <v>25</v>
      </c>
      <c r="W146">
        <v>20</v>
      </c>
      <c r="X146">
        <v>31</v>
      </c>
      <c r="Y146">
        <v>9</v>
      </c>
      <c r="Z146">
        <v>39</v>
      </c>
      <c r="AA146">
        <v>40</v>
      </c>
      <c r="AB146">
        <v>19</v>
      </c>
      <c r="AC146">
        <v>42</v>
      </c>
      <c r="AD146">
        <v>41</v>
      </c>
      <c r="AE146">
        <v>1</v>
      </c>
      <c r="AF146">
        <v>3</v>
      </c>
      <c r="AG146">
        <v>30</v>
      </c>
      <c r="AH146">
        <v>17</v>
      </c>
      <c r="AI146">
        <v>7</v>
      </c>
      <c r="AJ146">
        <v>19</v>
      </c>
      <c r="AK146">
        <v>44</v>
      </c>
      <c r="AL146">
        <v>10</v>
      </c>
      <c r="AM146">
        <v>43</v>
      </c>
      <c r="AN146">
        <v>28</v>
      </c>
      <c r="AO146">
        <v>39</v>
      </c>
      <c r="AP146">
        <v>35</v>
      </c>
      <c r="AQ146">
        <v>38</v>
      </c>
      <c r="AR146">
        <v>23</v>
      </c>
      <c r="AS146">
        <v>42</v>
      </c>
      <c r="AT146">
        <v>42</v>
      </c>
      <c r="AU146">
        <v>31</v>
      </c>
      <c r="AV146">
        <v>41</v>
      </c>
      <c r="AW146">
        <v>37</v>
      </c>
      <c r="AX146">
        <v>36</v>
      </c>
      <c r="AY146">
        <v>16</v>
      </c>
      <c r="AZ146">
        <v>39</v>
      </c>
      <c r="BA146">
        <v>32</v>
      </c>
      <c r="BB146">
        <v>16</v>
      </c>
      <c r="BC146">
        <v>10</v>
      </c>
      <c r="BD146">
        <v>40</v>
      </c>
      <c r="BE146">
        <v>1</v>
      </c>
      <c r="BF146">
        <v>108298</v>
      </c>
      <c r="BG146">
        <v>5535</v>
      </c>
    </row>
    <row r="147" spans="1:59" x14ac:dyDescent="0.3">
      <c r="A147" s="3">
        <v>45437</v>
      </c>
      <c r="B147" t="s">
        <v>64</v>
      </c>
      <c r="C147">
        <v>5</v>
      </c>
      <c r="D147">
        <v>788</v>
      </c>
      <c r="E147">
        <v>699</v>
      </c>
      <c r="F147">
        <v>13</v>
      </c>
      <c r="G147">
        <v>16</v>
      </c>
      <c r="H147">
        <v>3</v>
      </c>
      <c r="I147">
        <v>17</v>
      </c>
      <c r="J147">
        <v>26</v>
      </c>
      <c r="K147">
        <v>44</v>
      </c>
      <c r="L147">
        <v>28</v>
      </c>
      <c r="M147">
        <v>15</v>
      </c>
      <c r="N147">
        <v>18</v>
      </c>
      <c r="O147">
        <v>5</v>
      </c>
      <c r="P147">
        <v>13</v>
      </c>
      <c r="Q147">
        <v>26</v>
      </c>
      <c r="R147">
        <v>18</v>
      </c>
      <c r="S147">
        <v>45</v>
      </c>
      <c r="T147">
        <v>9</v>
      </c>
      <c r="U147">
        <v>0</v>
      </c>
      <c r="V147">
        <v>17</v>
      </c>
      <c r="W147">
        <v>38</v>
      </c>
      <c r="X147">
        <v>10</v>
      </c>
      <c r="Y147">
        <v>2</v>
      </c>
      <c r="Z147">
        <v>4</v>
      </c>
      <c r="AA147">
        <v>26</v>
      </c>
      <c r="AB147">
        <v>47</v>
      </c>
      <c r="AC147">
        <v>39</v>
      </c>
      <c r="AD147">
        <v>43</v>
      </c>
      <c r="AE147">
        <v>6</v>
      </c>
      <c r="AF147">
        <v>49</v>
      </c>
      <c r="AG147">
        <v>36</v>
      </c>
      <c r="AH147">
        <v>31</v>
      </c>
      <c r="AI147">
        <v>22</v>
      </c>
      <c r="AJ147">
        <v>15</v>
      </c>
      <c r="AK147">
        <v>23</v>
      </c>
      <c r="AL147">
        <v>40</v>
      </c>
      <c r="AM147">
        <v>40</v>
      </c>
      <c r="AN147">
        <v>43</v>
      </c>
      <c r="AO147">
        <v>24</v>
      </c>
      <c r="AP147">
        <v>47</v>
      </c>
      <c r="AQ147">
        <v>1</v>
      </c>
      <c r="AR147">
        <v>25</v>
      </c>
      <c r="AS147">
        <v>40</v>
      </c>
      <c r="AT147">
        <v>13</v>
      </c>
      <c r="AU147">
        <v>49</v>
      </c>
      <c r="AV147">
        <v>46</v>
      </c>
      <c r="AW147">
        <v>0</v>
      </c>
      <c r="AX147">
        <v>49</v>
      </c>
      <c r="AY147">
        <v>18</v>
      </c>
      <c r="AZ147">
        <v>27</v>
      </c>
      <c r="BA147">
        <v>0</v>
      </c>
      <c r="BB147">
        <v>10</v>
      </c>
      <c r="BC147">
        <v>11</v>
      </c>
      <c r="BD147">
        <v>37</v>
      </c>
      <c r="BE147">
        <v>36</v>
      </c>
      <c r="BF147">
        <v>108849</v>
      </c>
      <c r="BG147">
        <v>5547</v>
      </c>
    </row>
    <row r="148" spans="1:59" x14ac:dyDescent="0.3">
      <c r="A148" s="3">
        <v>45438</v>
      </c>
      <c r="B148" t="s">
        <v>64</v>
      </c>
      <c r="C148">
        <v>5</v>
      </c>
      <c r="D148">
        <v>790</v>
      </c>
      <c r="E148">
        <v>700</v>
      </c>
      <c r="F148">
        <v>44</v>
      </c>
      <c r="G148">
        <v>7</v>
      </c>
      <c r="H148">
        <v>19</v>
      </c>
      <c r="I148">
        <v>27</v>
      </c>
      <c r="J148">
        <v>1</v>
      </c>
      <c r="K148">
        <v>9</v>
      </c>
      <c r="L148">
        <v>33</v>
      </c>
      <c r="M148">
        <v>37</v>
      </c>
      <c r="N148">
        <v>34</v>
      </c>
      <c r="O148">
        <v>32</v>
      </c>
      <c r="P148">
        <v>10</v>
      </c>
      <c r="Q148">
        <v>45</v>
      </c>
      <c r="R148">
        <v>49</v>
      </c>
      <c r="S148">
        <v>41</v>
      </c>
      <c r="T148">
        <v>5</v>
      </c>
      <c r="U148">
        <v>27</v>
      </c>
      <c r="V148">
        <v>28</v>
      </c>
      <c r="W148">
        <v>9</v>
      </c>
      <c r="X148">
        <v>19</v>
      </c>
      <c r="Y148">
        <v>14</v>
      </c>
      <c r="Z148">
        <v>27</v>
      </c>
      <c r="AA148">
        <v>43</v>
      </c>
      <c r="AB148">
        <v>32</v>
      </c>
      <c r="AC148">
        <v>17</v>
      </c>
      <c r="AD148">
        <v>29</v>
      </c>
      <c r="AE148">
        <v>22</v>
      </c>
      <c r="AF148">
        <v>34</v>
      </c>
      <c r="AG148">
        <v>39</v>
      </c>
      <c r="AH148">
        <v>11</v>
      </c>
      <c r="AI148">
        <v>20</v>
      </c>
      <c r="AJ148">
        <v>10</v>
      </c>
      <c r="AK148">
        <v>13</v>
      </c>
      <c r="AL148">
        <v>9</v>
      </c>
      <c r="AM148">
        <v>32</v>
      </c>
      <c r="AN148">
        <v>30</v>
      </c>
      <c r="AO148">
        <v>27</v>
      </c>
      <c r="AP148">
        <v>34</v>
      </c>
      <c r="AQ148">
        <v>19</v>
      </c>
      <c r="AR148">
        <v>47</v>
      </c>
      <c r="AS148">
        <v>38</v>
      </c>
      <c r="AT148">
        <v>39</v>
      </c>
      <c r="AU148">
        <v>14</v>
      </c>
      <c r="AV148">
        <v>24</v>
      </c>
      <c r="AW148">
        <v>1</v>
      </c>
      <c r="AX148">
        <v>37</v>
      </c>
      <c r="AY148">
        <v>18</v>
      </c>
      <c r="AZ148">
        <v>18</v>
      </c>
      <c r="BA148">
        <v>44</v>
      </c>
      <c r="BB148">
        <v>7</v>
      </c>
      <c r="BC148">
        <v>30</v>
      </c>
      <c r="BD148">
        <v>24</v>
      </c>
      <c r="BE148">
        <v>2</v>
      </c>
      <c r="BF148">
        <v>109400</v>
      </c>
      <c r="BG148">
        <v>5560</v>
      </c>
    </row>
    <row r="149" spans="1:59" x14ac:dyDescent="0.3">
      <c r="A149" s="3">
        <v>45439</v>
      </c>
      <c r="B149" t="s">
        <v>64</v>
      </c>
      <c r="C149">
        <v>5</v>
      </c>
      <c r="D149">
        <v>791</v>
      </c>
      <c r="E149">
        <v>700</v>
      </c>
      <c r="F149">
        <v>41</v>
      </c>
      <c r="G149">
        <v>44</v>
      </c>
      <c r="H149">
        <v>28</v>
      </c>
      <c r="I149">
        <v>34</v>
      </c>
      <c r="J149">
        <v>41</v>
      </c>
      <c r="K149">
        <v>15</v>
      </c>
      <c r="L149">
        <v>28</v>
      </c>
      <c r="M149">
        <v>44</v>
      </c>
      <c r="N149">
        <v>12</v>
      </c>
      <c r="O149">
        <v>19</v>
      </c>
      <c r="P149">
        <v>29</v>
      </c>
      <c r="Q149">
        <v>18</v>
      </c>
      <c r="R149">
        <v>26</v>
      </c>
      <c r="S149">
        <v>38</v>
      </c>
      <c r="T149">
        <v>4</v>
      </c>
      <c r="U149">
        <v>28</v>
      </c>
      <c r="V149">
        <v>42</v>
      </c>
      <c r="W149">
        <v>14</v>
      </c>
      <c r="X149">
        <v>20</v>
      </c>
      <c r="Y149">
        <v>13</v>
      </c>
      <c r="Z149">
        <v>34</v>
      </c>
      <c r="AA149">
        <v>22</v>
      </c>
      <c r="AB149">
        <v>8</v>
      </c>
      <c r="AC149">
        <v>37</v>
      </c>
      <c r="AD149">
        <v>12</v>
      </c>
      <c r="AE149">
        <v>5</v>
      </c>
      <c r="AF149">
        <v>25</v>
      </c>
      <c r="AG149">
        <v>18</v>
      </c>
      <c r="AH149">
        <v>28</v>
      </c>
      <c r="AI149">
        <v>8</v>
      </c>
      <c r="AJ149">
        <v>42</v>
      </c>
      <c r="AK149">
        <v>24</v>
      </c>
      <c r="AL149">
        <v>16</v>
      </c>
      <c r="AM149">
        <v>29</v>
      </c>
      <c r="AN149">
        <v>30</v>
      </c>
      <c r="AO149">
        <v>39</v>
      </c>
      <c r="AP149">
        <v>25</v>
      </c>
      <c r="AQ149">
        <v>9</v>
      </c>
      <c r="AR149">
        <v>49</v>
      </c>
      <c r="AS149">
        <v>0</v>
      </c>
      <c r="AT149">
        <v>12</v>
      </c>
      <c r="AU149">
        <v>41</v>
      </c>
      <c r="AV149">
        <v>21</v>
      </c>
      <c r="AW149">
        <v>2</v>
      </c>
      <c r="AX149">
        <v>20</v>
      </c>
      <c r="AY149">
        <v>45</v>
      </c>
      <c r="AZ149">
        <v>18</v>
      </c>
      <c r="BA149">
        <v>27</v>
      </c>
      <c r="BB149">
        <v>37</v>
      </c>
      <c r="BC149">
        <v>28</v>
      </c>
      <c r="BD149">
        <v>13</v>
      </c>
      <c r="BE149">
        <v>6</v>
      </c>
      <c r="BF149">
        <v>109950</v>
      </c>
      <c r="BG149">
        <v>5572</v>
      </c>
    </row>
    <row r="150" spans="1:59" x14ac:dyDescent="0.3">
      <c r="A150" s="3">
        <v>45440</v>
      </c>
      <c r="B150" t="s">
        <v>64</v>
      </c>
      <c r="C150">
        <v>5</v>
      </c>
      <c r="D150">
        <v>793</v>
      </c>
      <c r="E150">
        <v>701</v>
      </c>
      <c r="F150">
        <v>1</v>
      </c>
      <c r="G150">
        <v>18</v>
      </c>
      <c r="H150">
        <v>44</v>
      </c>
      <c r="I150">
        <v>49</v>
      </c>
      <c r="J150">
        <v>43</v>
      </c>
      <c r="K150">
        <v>25</v>
      </c>
      <c r="L150">
        <v>7</v>
      </c>
      <c r="M150">
        <v>22</v>
      </c>
      <c r="N150">
        <v>18</v>
      </c>
      <c r="O150">
        <v>28</v>
      </c>
      <c r="P150">
        <v>26</v>
      </c>
      <c r="Q150">
        <v>12</v>
      </c>
      <c r="R150">
        <v>7</v>
      </c>
      <c r="S150">
        <v>41</v>
      </c>
      <c r="T150">
        <v>30</v>
      </c>
      <c r="U150">
        <v>42</v>
      </c>
      <c r="V150">
        <v>44</v>
      </c>
      <c r="W150">
        <v>48</v>
      </c>
      <c r="X150">
        <v>27</v>
      </c>
      <c r="Y150">
        <v>33</v>
      </c>
      <c r="Z150">
        <v>26</v>
      </c>
      <c r="AA150">
        <v>39</v>
      </c>
      <c r="AB150">
        <v>39</v>
      </c>
      <c r="AC150">
        <v>11</v>
      </c>
      <c r="AD150">
        <v>33</v>
      </c>
      <c r="AE150">
        <v>48</v>
      </c>
      <c r="AF150">
        <v>32</v>
      </c>
      <c r="AG150">
        <v>5</v>
      </c>
      <c r="AH150">
        <v>24</v>
      </c>
      <c r="AI150">
        <v>38</v>
      </c>
      <c r="AJ150">
        <v>1</v>
      </c>
      <c r="AK150">
        <v>22</v>
      </c>
      <c r="AL150">
        <v>38</v>
      </c>
      <c r="AM150">
        <v>45</v>
      </c>
      <c r="AN150">
        <v>15</v>
      </c>
      <c r="AO150">
        <v>40</v>
      </c>
      <c r="AP150">
        <v>12</v>
      </c>
      <c r="AQ150">
        <v>35</v>
      </c>
      <c r="AR150">
        <v>45</v>
      </c>
      <c r="AS150">
        <v>32</v>
      </c>
      <c r="AT150">
        <v>46</v>
      </c>
      <c r="AU150">
        <v>26</v>
      </c>
      <c r="AV150">
        <v>34</v>
      </c>
      <c r="AW150">
        <v>9</v>
      </c>
      <c r="AX150">
        <v>46</v>
      </c>
      <c r="AY150">
        <v>5</v>
      </c>
      <c r="AZ150">
        <v>14</v>
      </c>
      <c r="BA150">
        <v>8</v>
      </c>
      <c r="BB150">
        <v>2</v>
      </c>
      <c r="BC150">
        <v>6</v>
      </c>
      <c r="BD150">
        <v>28</v>
      </c>
      <c r="BE150">
        <v>25</v>
      </c>
      <c r="BF150">
        <v>110501</v>
      </c>
      <c r="BG150">
        <v>5584</v>
      </c>
    </row>
    <row r="151" spans="1:59" x14ac:dyDescent="0.3">
      <c r="A151" s="3">
        <v>45441</v>
      </c>
      <c r="B151" t="s">
        <v>64</v>
      </c>
      <c r="C151">
        <v>5</v>
      </c>
      <c r="D151">
        <v>794</v>
      </c>
      <c r="E151">
        <v>702</v>
      </c>
      <c r="F151">
        <v>36</v>
      </c>
      <c r="G151">
        <v>29</v>
      </c>
      <c r="H151">
        <v>41</v>
      </c>
      <c r="I151">
        <v>13</v>
      </c>
      <c r="J151">
        <v>33</v>
      </c>
      <c r="K151">
        <v>25</v>
      </c>
      <c r="L151">
        <v>49</v>
      </c>
      <c r="M151">
        <v>49</v>
      </c>
      <c r="N151">
        <v>19</v>
      </c>
      <c r="O151">
        <v>45</v>
      </c>
      <c r="P151">
        <v>38</v>
      </c>
      <c r="Q151">
        <v>39</v>
      </c>
      <c r="R151">
        <v>5</v>
      </c>
      <c r="S151">
        <v>43</v>
      </c>
      <c r="T151">
        <v>31</v>
      </c>
      <c r="U151">
        <v>6</v>
      </c>
      <c r="V151">
        <v>22</v>
      </c>
      <c r="W151">
        <v>11</v>
      </c>
      <c r="X151">
        <v>5</v>
      </c>
      <c r="Y151">
        <v>2</v>
      </c>
      <c r="Z151">
        <v>28</v>
      </c>
      <c r="AA151">
        <v>47</v>
      </c>
      <c r="AB151">
        <v>38</v>
      </c>
      <c r="AC151">
        <v>41</v>
      </c>
      <c r="AD151">
        <v>48</v>
      </c>
      <c r="AE151">
        <v>4</v>
      </c>
      <c r="AF151">
        <v>20</v>
      </c>
      <c r="AG151">
        <v>25</v>
      </c>
      <c r="AH151">
        <v>19</v>
      </c>
      <c r="AI151">
        <v>8</v>
      </c>
      <c r="AJ151">
        <v>20</v>
      </c>
      <c r="AK151">
        <v>0</v>
      </c>
      <c r="AL151">
        <v>37</v>
      </c>
      <c r="AM151">
        <v>33</v>
      </c>
      <c r="AN151">
        <v>43</v>
      </c>
      <c r="AO151">
        <v>28</v>
      </c>
      <c r="AP151">
        <v>1</v>
      </c>
      <c r="AQ151">
        <v>33</v>
      </c>
      <c r="AR151">
        <v>32</v>
      </c>
      <c r="AS151">
        <v>30</v>
      </c>
      <c r="AT151">
        <v>20</v>
      </c>
      <c r="AU151">
        <v>49</v>
      </c>
      <c r="AV151">
        <v>9</v>
      </c>
      <c r="AW151">
        <v>34</v>
      </c>
      <c r="AX151">
        <v>25</v>
      </c>
      <c r="AY151">
        <v>15</v>
      </c>
      <c r="AZ151">
        <v>1</v>
      </c>
      <c r="BA151">
        <v>41</v>
      </c>
      <c r="BB151">
        <v>36</v>
      </c>
      <c r="BC151">
        <v>20</v>
      </c>
      <c r="BD151">
        <v>40</v>
      </c>
      <c r="BE151">
        <v>19</v>
      </c>
      <c r="BF151">
        <v>111052</v>
      </c>
      <c r="BG151">
        <v>5596</v>
      </c>
    </row>
    <row r="152" spans="1:59" x14ac:dyDescent="0.3">
      <c r="A152" s="3">
        <v>45442</v>
      </c>
      <c r="B152" t="s">
        <v>64</v>
      </c>
      <c r="C152">
        <v>5</v>
      </c>
      <c r="D152">
        <v>796</v>
      </c>
      <c r="E152">
        <v>702</v>
      </c>
      <c r="F152">
        <v>10</v>
      </c>
      <c r="G152">
        <v>10</v>
      </c>
      <c r="H152">
        <v>6</v>
      </c>
      <c r="I152">
        <v>46</v>
      </c>
      <c r="J152">
        <v>26</v>
      </c>
      <c r="K152">
        <v>8</v>
      </c>
      <c r="L152">
        <v>28</v>
      </c>
      <c r="M152">
        <v>32</v>
      </c>
      <c r="N152">
        <v>28</v>
      </c>
      <c r="O152">
        <v>10</v>
      </c>
      <c r="P152">
        <v>37</v>
      </c>
      <c r="Q152">
        <v>8</v>
      </c>
      <c r="R152">
        <v>8</v>
      </c>
      <c r="S152">
        <v>3</v>
      </c>
      <c r="T152">
        <v>40</v>
      </c>
      <c r="U152">
        <v>16</v>
      </c>
      <c r="V152">
        <v>26</v>
      </c>
      <c r="W152">
        <v>16</v>
      </c>
      <c r="X152">
        <v>19</v>
      </c>
      <c r="Y152">
        <v>26</v>
      </c>
      <c r="Z152">
        <v>21</v>
      </c>
      <c r="AA152">
        <v>2</v>
      </c>
      <c r="AB152">
        <v>29</v>
      </c>
      <c r="AC152">
        <v>44</v>
      </c>
      <c r="AD152">
        <v>36</v>
      </c>
      <c r="AE152">
        <v>47</v>
      </c>
      <c r="AF152">
        <v>14</v>
      </c>
      <c r="AG152">
        <v>29</v>
      </c>
      <c r="AH152">
        <v>2</v>
      </c>
      <c r="AI152">
        <v>22</v>
      </c>
      <c r="AJ152">
        <v>46</v>
      </c>
      <c r="AK152">
        <v>37</v>
      </c>
      <c r="AL152">
        <v>12</v>
      </c>
      <c r="AM152">
        <v>13</v>
      </c>
      <c r="AN152">
        <v>22</v>
      </c>
      <c r="AO152">
        <v>43</v>
      </c>
      <c r="AP152">
        <v>35</v>
      </c>
      <c r="AQ152">
        <v>24</v>
      </c>
      <c r="AR152">
        <v>14</v>
      </c>
      <c r="AS152">
        <v>21</v>
      </c>
      <c r="AT152">
        <v>44</v>
      </c>
      <c r="AU152">
        <v>0</v>
      </c>
      <c r="AV152">
        <v>37</v>
      </c>
      <c r="AW152">
        <v>33</v>
      </c>
      <c r="AX152">
        <v>11</v>
      </c>
      <c r="AY152">
        <v>30</v>
      </c>
      <c r="AZ152">
        <v>28</v>
      </c>
      <c r="BA152">
        <v>0</v>
      </c>
      <c r="BB152">
        <v>21</v>
      </c>
      <c r="BC152">
        <v>25</v>
      </c>
      <c r="BD152">
        <v>38</v>
      </c>
      <c r="BE152">
        <v>21</v>
      </c>
      <c r="BF152">
        <v>111602</v>
      </c>
      <c r="BG152">
        <v>5608</v>
      </c>
    </row>
    <row r="153" spans="1:59" x14ac:dyDescent="0.3">
      <c r="A153" s="3">
        <v>45443</v>
      </c>
      <c r="B153" t="s">
        <v>64</v>
      </c>
      <c r="C153">
        <v>5</v>
      </c>
      <c r="D153">
        <v>798</v>
      </c>
      <c r="E153">
        <v>703</v>
      </c>
      <c r="F153">
        <v>43</v>
      </c>
      <c r="G153">
        <v>41</v>
      </c>
      <c r="H153">
        <v>21</v>
      </c>
      <c r="I153">
        <v>25</v>
      </c>
      <c r="J153">
        <v>23</v>
      </c>
      <c r="K153">
        <v>13</v>
      </c>
      <c r="L153">
        <v>49</v>
      </c>
      <c r="M153">
        <v>17</v>
      </c>
      <c r="N153">
        <v>32</v>
      </c>
      <c r="O153">
        <v>13</v>
      </c>
      <c r="P153">
        <v>27</v>
      </c>
      <c r="Q153">
        <v>3</v>
      </c>
      <c r="R153">
        <v>10</v>
      </c>
      <c r="S153">
        <v>38</v>
      </c>
      <c r="T153">
        <v>5</v>
      </c>
      <c r="U153">
        <v>3</v>
      </c>
      <c r="V153">
        <v>2</v>
      </c>
      <c r="W153">
        <v>46</v>
      </c>
      <c r="X153">
        <v>24</v>
      </c>
      <c r="Y153">
        <v>39</v>
      </c>
      <c r="Z153">
        <v>0</v>
      </c>
      <c r="AA153">
        <v>15</v>
      </c>
      <c r="AB153">
        <v>36</v>
      </c>
      <c r="AC153">
        <v>9</v>
      </c>
      <c r="AD153">
        <v>40</v>
      </c>
      <c r="AE153">
        <v>48</v>
      </c>
      <c r="AF153">
        <v>15</v>
      </c>
      <c r="AG153">
        <v>20</v>
      </c>
      <c r="AH153">
        <v>5</v>
      </c>
      <c r="AI153">
        <v>44</v>
      </c>
      <c r="AJ153">
        <v>15</v>
      </c>
      <c r="AK153">
        <v>20</v>
      </c>
      <c r="AL153">
        <v>15</v>
      </c>
      <c r="AM153">
        <v>41</v>
      </c>
      <c r="AN153">
        <v>46</v>
      </c>
      <c r="AO153">
        <v>46</v>
      </c>
      <c r="AP153">
        <v>41</v>
      </c>
      <c r="AQ153">
        <v>7</v>
      </c>
      <c r="AR153">
        <v>48</v>
      </c>
      <c r="AS153">
        <v>5</v>
      </c>
      <c r="AT153">
        <v>34</v>
      </c>
      <c r="AU153">
        <v>29</v>
      </c>
      <c r="AV153">
        <v>31</v>
      </c>
      <c r="AW153">
        <v>47</v>
      </c>
      <c r="AX153">
        <v>2</v>
      </c>
      <c r="AY153">
        <v>10</v>
      </c>
      <c r="AZ153">
        <v>46</v>
      </c>
      <c r="BA153">
        <v>26</v>
      </c>
      <c r="BB153">
        <v>39</v>
      </c>
      <c r="BC153">
        <v>38</v>
      </c>
      <c r="BD153">
        <v>19</v>
      </c>
      <c r="BE153">
        <v>42</v>
      </c>
      <c r="BF153">
        <v>112153</v>
      </c>
      <c r="BG153">
        <v>5620</v>
      </c>
    </row>
    <row r="154" spans="1:59" x14ac:dyDescent="0.3">
      <c r="A154" s="3">
        <v>45444</v>
      </c>
      <c r="B154" t="s">
        <v>65</v>
      </c>
      <c r="C154">
        <v>6</v>
      </c>
      <c r="D154">
        <v>799</v>
      </c>
      <c r="E154">
        <v>704</v>
      </c>
      <c r="F154">
        <v>4</v>
      </c>
      <c r="G154">
        <v>1</v>
      </c>
      <c r="H154">
        <v>48</v>
      </c>
      <c r="I154">
        <v>47</v>
      </c>
      <c r="J154">
        <v>39</v>
      </c>
      <c r="K154">
        <v>40</v>
      </c>
      <c r="L154">
        <v>7</v>
      </c>
      <c r="M154">
        <v>5</v>
      </c>
      <c r="N154">
        <v>26</v>
      </c>
      <c r="O154">
        <v>34</v>
      </c>
      <c r="P154">
        <v>45</v>
      </c>
      <c r="Q154">
        <v>24</v>
      </c>
      <c r="R154">
        <v>8</v>
      </c>
      <c r="S154">
        <v>17</v>
      </c>
      <c r="T154">
        <v>32</v>
      </c>
      <c r="U154">
        <v>46</v>
      </c>
      <c r="V154">
        <v>10</v>
      </c>
      <c r="W154">
        <v>11</v>
      </c>
      <c r="X154">
        <v>20</v>
      </c>
      <c r="Y154">
        <v>26</v>
      </c>
      <c r="Z154">
        <v>43</v>
      </c>
      <c r="AA154">
        <v>9</v>
      </c>
      <c r="AB154">
        <v>20</v>
      </c>
      <c r="AC154">
        <v>22</v>
      </c>
      <c r="AD154">
        <v>24</v>
      </c>
      <c r="AE154">
        <v>46</v>
      </c>
      <c r="AF154">
        <v>34</v>
      </c>
      <c r="AG154">
        <v>33</v>
      </c>
      <c r="AH154">
        <v>6</v>
      </c>
      <c r="AI154">
        <v>34</v>
      </c>
      <c r="AJ154">
        <v>11</v>
      </c>
      <c r="AK154">
        <v>30</v>
      </c>
      <c r="AL154">
        <v>23</v>
      </c>
      <c r="AM154">
        <v>41</v>
      </c>
      <c r="AN154">
        <v>28</v>
      </c>
      <c r="AO154">
        <v>33</v>
      </c>
      <c r="AP154">
        <v>39</v>
      </c>
      <c r="AQ154">
        <v>28</v>
      </c>
      <c r="AR154">
        <v>28</v>
      </c>
      <c r="AS154">
        <v>23</v>
      </c>
      <c r="AT154">
        <v>44</v>
      </c>
      <c r="AU154">
        <v>13</v>
      </c>
      <c r="AV154">
        <v>12</v>
      </c>
      <c r="AW154">
        <v>24</v>
      </c>
      <c r="AX154">
        <v>40</v>
      </c>
      <c r="AY154">
        <v>32</v>
      </c>
      <c r="AZ154">
        <v>12</v>
      </c>
      <c r="BA154">
        <v>31</v>
      </c>
      <c r="BB154">
        <v>42</v>
      </c>
      <c r="BC154">
        <v>37</v>
      </c>
      <c r="BD154">
        <v>31</v>
      </c>
      <c r="BE154">
        <v>13</v>
      </c>
      <c r="BF154">
        <v>112704</v>
      </c>
      <c r="BG154">
        <v>5632</v>
      </c>
    </row>
    <row r="155" spans="1:59" x14ac:dyDescent="0.3">
      <c r="A155" s="3">
        <v>45445</v>
      </c>
      <c r="B155" t="s">
        <v>65</v>
      </c>
      <c r="C155">
        <v>6</v>
      </c>
      <c r="D155">
        <v>801</v>
      </c>
      <c r="E155">
        <v>704</v>
      </c>
      <c r="F155">
        <v>8</v>
      </c>
      <c r="G155">
        <v>10</v>
      </c>
      <c r="H155">
        <v>0</v>
      </c>
      <c r="I155">
        <v>45</v>
      </c>
      <c r="J155">
        <v>17</v>
      </c>
      <c r="K155">
        <v>22</v>
      </c>
      <c r="L155">
        <v>38</v>
      </c>
      <c r="M155">
        <v>23</v>
      </c>
      <c r="N155">
        <v>41</v>
      </c>
      <c r="O155">
        <v>1</v>
      </c>
      <c r="P155">
        <v>13</v>
      </c>
      <c r="Q155">
        <v>35</v>
      </c>
      <c r="R155">
        <v>11</v>
      </c>
      <c r="S155">
        <v>16</v>
      </c>
      <c r="T155">
        <v>10</v>
      </c>
      <c r="U155">
        <v>8</v>
      </c>
      <c r="V155">
        <v>10</v>
      </c>
      <c r="W155">
        <v>39</v>
      </c>
      <c r="X155">
        <v>28</v>
      </c>
      <c r="Y155">
        <v>44</v>
      </c>
      <c r="Z155">
        <v>0</v>
      </c>
      <c r="AA155">
        <v>20</v>
      </c>
      <c r="AB155">
        <v>39</v>
      </c>
      <c r="AC155">
        <v>28</v>
      </c>
      <c r="AD155">
        <v>36</v>
      </c>
      <c r="AE155">
        <v>1</v>
      </c>
      <c r="AF155">
        <v>19</v>
      </c>
      <c r="AG155">
        <v>7</v>
      </c>
      <c r="AH155">
        <v>8</v>
      </c>
      <c r="AI155">
        <v>14</v>
      </c>
      <c r="AJ155">
        <v>34</v>
      </c>
      <c r="AK155">
        <v>18</v>
      </c>
      <c r="AL155">
        <v>2</v>
      </c>
      <c r="AM155">
        <v>1</v>
      </c>
      <c r="AN155">
        <v>35</v>
      </c>
      <c r="AO155">
        <v>31</v>
      </c>
      <c r="AP155">
        <v>38</v>
      </c>
      <c r="AQ155">
        <v>10</v>
      </c>
      <c r="AR155">
        <v>25</v>
      </c>
      <c r="AS155">
        <v>28</v>
      </c>
      <c r="AT155">
        <v>41</v>
      </c>
      <c r="AU155">
        <v>12</v>
      </c>
      <c r="AV155">
        <v>46</v>
      </c>
      <c r="AW155">
        <v>17</v>
      </c>
      <c r="AX155">
        <v>5</v>
      </c>
      <c r="AY155">
        <v>12</v>
      </c>
      <c r="AZ155">
        <v>35</v>
      </c>
      <c r="BA155">
        <v>22</v>
      </c>
      <c r="BB155">
        <v>18</v>
      </c>
      <c r="BC155">
        <v>25</v>
      </c>
      <c r="BD155">
        <v>4</v>
      </c>
      <c r="BE155">
        <v>41</v>
      </c>
      <c r="BF155">
        <v>113254</v>
      </c>
      <c r="BG155">
        <v>5644</v>
      </c>
    </row>
    <row r="156" spans="1:59" x14ac:dyDescent="0.3">
      <c r="A156" s="3">
        <v>45446</v>
      </c>
      <c r="B156" t="s">
        <v>65</v>
      </c>
      <c r="C156">
        <v>6</v>
      </c>
      <c r="D156">
        <v>803</v>
      </c>
      <c r="E156">
        <v>705</v>
      </c>
      <c r="F156">
        <v>38</v>
      </c>
      <c r="G156">
        <v>38</v>
      </c>
      <c r="H156">
        <v>48</v>
      </c>
      <c r="I156">
        <v>7</v>
      </c>
      <c r="J156">
        <v>34</v>
      </c>
      <c r="K156">
        <v>47</v>
      </c>
      <c r="L156">
        <v>34</v>
      </c>
      <c r="M156">
        <v>24</v>
      </c>
      <c r="N156">
        <v>2</v>
      </c>
      <c r="O156">
        <v>17</v>
      </c>
      <c r="P156">
        <v>44</v>
      </c>
      <c r="Q156">
        <v>43</v>
      </c>
      <c r="R156">
        <v>45</v>
      </c>
      <c r="S156">
        <v>4</v>
      </c>
      <c r="T156">
        <v>47</v>
      </c>
      <c r="U156">
        <v>18</v>
      </c>
      <c r="V156">
        <v>10</v>
      </c>
      <c r="W156">
        <v>15</v>
      </c>
      <c r="X156">
        <v>29</v>
      </c>
      <c r="Y156">
        <v>43</v>
      </c>
      <c r="Z156">
        <v>42</v>
      </c>
      <c r="AA156">
        <v>39</v>
      </c>
      <c r="AB156">
        <v>32</v>
      </c>
      <c r="AC156">
        <v>29</v>
      </c>
      <c r="AD156">
        <v>36</v>
      </c>
      <c r="AE156">
        <v>47</v>
      </c>
      <c r="AF156">
        <v>8</v>
      </c>
      <c r="AG156">
        <v>38</v>
      </c>
      <c r="AH156">
        <v>11</v>
      </c>
      <c r="AI156">
        <v>15</v>
      </c>
      <c r="AJ156">
        <v>8</v>
      </c>
      <c r="AK156">
        <v>31</v>
      </c>
      <c r="AL156">
        <v>0</v>
      </c>
      <c r="AM156">
        <v>6</v>
      </c>
      <c r="AN156">
        <v>9</v>
      </c>
      <c r="AO156">
        <v>7</v>
      </c>
      <c r="AP156">
        <v>3</v>
      </c>
      <c r="AQ156">
        <v>10</v>
      </c>
      <c r="AR156">
        <v>10</v>
      </c>
      <c r="AS156">
        <v>24</v>
      </c>
      <c r="AT156">
        <v>8</v>
      </c>
      <c r="AU156">
        <v>0</v>
      </c>
      <c r="AV156">
        <v>23</v>
      </c>
      <c r="AW156">
        <v>49</v>
      </c>
      <c r="AX156">
        <v>26</v>
      </c>
      <c r="AY156">
        <v>34</v>
      </c>
      <c r="AZ156">
        <v>34</v>
      </c>
      <c r="BA156">
        <v>42</v>
      </c>
      <c r="BB156">
        <v>1</v>
      </c>
      <c r="BC156">
        <v>0</v>
      </c>
      <c r="BD156">
        <v>25</v>
      </c>
      <c r="BE156">
        <v>27</v>
      </c>
      <c r="BF156">
        <v>113805</v>
      </c>
      <c r="BG156">
        <v>5656</v>
      </c>
    </row>
    <row r="157" spans="1:59" x14ac:dyDescent="0.3">
      <c r="A157" s="3">
        <v>45447</v>
      </c>
      <c r="B157" t="s">
        <v>65</v>
      </c>
      <c r="C157">
        <v>6</v>
      </c>
      <c r="D157">
        <v>804</v>
      </c>
      <c r="E157">
        <v>706</v>
      </c>
      <c r="F157">
        <v>1</v>
      </c>
      <c r="G157">
        <v>0</v>
      </c>
      <c r="H157">
        <v>22</v>
      </c>
      <c r="I157">
        <v>6</v>
      </c>
      <c r="J157">
        <v>19</v>
      </c>
      <c r="K157">
        <v>30</v>
      </c>
      <c r="L157">
        <v>4</v>
      </c>
      <c r="M157">
        <v>3</v>
      </c>
      <c r="N157">
        <v>49</v>
      </c>
      <c r="O157">
        <v>26</v>
      </c>
      <c r="P157">
        <v>0</v>
      </c>
      <c r="Q157">
        <v>46</v>
      </c>
      <c r="R157">
        <v>0</v>
      </c>
      <c r="S157">
        <v>35</v>
      </c>
      <c r="T157">
        <v>2</v>
      </c>
      <c r="U157">
        <v>8</v>
      </c>
      <c r="V157">
        <v>49</v>
      </c>
      <c r="W157">
        <v>40</v>
      </c>
      <c r="X157">
        <v>4</v>
      </c>
      <c r="Y157">
        <v>8</v>
      </c>
      <c r="Z157">
        <v>47</v>
      </c>
      <c r="AA157">
        <v>14</v>
      </c>
      <c r="AB157">
        <v>22</v>
      </c>
      <c r="AC157">
        <v>4</v>
      </c>
      <c r="AD157">
        <v>27</v>
      </c>
      <c r="AE157">
        <v>25</v>
      </c>
      <c r="AF157">
        <v>35</v>
      </c>
      <c r="AG157">
        <v>9</v>
      </c>
      <c r="AH157">
        <v>41</v>
      </c>
      <c r="AI157">
        <v>7</v>
      </c>
      <c r="AJ157">
        <v>34</v>
      </c>
      <c r="AK157">
        <v>5</v>
      </c>
      <c r="AL157">
        <v>38</v>
      </c>
      <c r="AM157">
        <v>4</v>
      </c>
      <c r="AN157">
        <v>18</v>
      </c>
      <c r="AO157">
        <v>1</v>
      </c>
      <c r="AP157">
        <v>29</v>
      </c>
      <c r="AQ157">
        <v>45</v>
      </c>
      <c r="AR157">
        <v>27</v>
      </c>
      <c r="AS157">
        <v>29</v>
      </c>
      <c r="AT157">
        <v>35</v>
      </c>
      <c r="AU157">
        <v>30</v>
      </c>
      <c r="AV157">
        <v>32</v>
      </c>
      <c r="AW157">
        <v>40</v>
      </c>
      <c r="AX157">
        <v>30</v>
      </c>
      <c r="AY157">
        <v>18</v>
      </c>
      <c r="AZ157">
        <v>43</v>
      </c>
      <c r="BA157">
        <v>41</v>
      </c>
      <c r="BB157">
        <v>28</v>
      </c>
      <c r="BC157">
        <v>21</v>
      </c>
      <c r="BD157">
        <v>8</v>
      </c>
      <c r="BE157">
        <v>34</v>
      </c>
      <c r="BF157">
        <v>114356</v>
      </c>
      <c r="BG157">
        <v>5668</v>
      </c>
    </row>
    <row r="158" spans="1:59" x14ac:dyDescent="0.3">
      <c r="A158" s="3">
        <v>45448</v>
      </c>
      <c r="B158" t="s">
        <v>65</v>
      </c>
      <c r="C158">
        <v>6</v>
      </c>
      <c r="D158">
        <v>806</v>
      </c>
      <c r="E158">
        <v>706</v>
      </c>
      <c r="F158">
        <v>47</v>
      </c>
      <c r="G158">
        <v>12</v>
      </c>
      <c r="H158">
        <v>27</v>
      </c>
      <c r="I158">
        <v>43</v>
      </c>
      <c r="J158">
        <v>12</v>
      </c>
      <c r="K158">
        <v>18</v>
      </c>
      <c r="L158">
        <v>7</v>
      </c>
      <c r="M158">
        <v>44</v>
      </c>
      <c r="N158">
        <v>18</v>
      </c>
      <c r="O158">
        <v>19</v>
      </c>
      <c r="P158">
        <v>7</v>
      </c>
      <c r="Q158">
        <v>40</v>
      </c>
      <c r="R158">
        <v>15</v>
      </c>
      <c r="S158">
        <v>21</v>
      </c>
      <c r="T158">
        <v>48</v>
      </c>
      <c r="U158">
        <v>16</v>
      </c>
      <c r="V158">
        <v>39</v>
      </c>
      <c r="W158">
        <v>10</v>
      </c>
      <c r="X158">
        <v>31</v>
      </c>
      <c r="Y158">
        <v>43</v>
      </c>
      <c r="Z158">
        <v>27</v>
      </c>
      <c r="AA158">
        <v>46</v>
      </c>
      <c r="AB158">
        <v>3</v>
      </c>
      <c r="AC158">
        <v>38</v>
      </c>
      <c r="AD158">
        <v>26</v>
      </c>
      <c r="AE158">
        <v>22</v>
      </c>
      <c r="AF158">
        <v>32</v>
      </c>
      <c r="AG158">
        <v>22</v>
      </c>
      <c r="AH158">
        <v>5</v>
      </c>
      <c r="AI158">
        <v>25</v>
      </c>
      <c r="AJ158">
        <v>8</v>
      </c>
      <c r="AK158">
        <v>35</v>
      </c>
      <c r="AL158">
        <v>38</v>
      </c>
      <c r="AM158">
        <v>13</v>
      </c>
      <c r="AN158">
        <v>26</v>
      </c>
      <c r="AO158">
        <v>12</v>
      </c>
      <c r="AP158">
        <v>8</v>
      </c>
      <c r="AQ158">
        <v>47</v>
      </c>
      <c r="AR158">
        <v>1</v>
      </c>
      <c r="AS158">
        <v>21</v>
      </c>
      <c r="AT158">
        <v>8</v>
      </c>
      <c r="AU158">
        <v>4</v>
      </c>
      <c r="AV158">
        <v>36</v>
      </c>
      <c r="AW158">
        <v>39</v>
      </c>
      <c r="AX158">
        <v>14</v>
      </c>
      <c r="AY158">
        <v>34</v>
      </c>
      <c r="AZ158">
        <v>35</v>
      </c>
      <c r="BA158">
        <v>46</v>
      </c>
      <c r="BB158">
        <v>47</v>
      </c>
      <c r="BC158">
        <v>32</v>
      </c>
      <c r="BD158">
        <v>26</v>
      </c>
      <c r="BE158">
        <v>31</v>
      </c>
      <c r="BF158">
        <v>114906</v>
      </c>
      <c r="BG158">
        <v>5680</v>
      </c>
    </row>
    <row r="159" spans="1:59" x14ac:dyDescent="0.3">
      <c r="A159" s="3">
        <v>45449</v>
      </c>
      <c r="B159" t="s">
        <v>65</v>
      </c>
      <c r="C159">
        <v>6</v>
      </c>
      <c r="D159">
        <v>808</v>
      </c>
      <c r="E159">
        <v>707</v>
      </c>
      <c r="F159">
        <v>7</v>
      </c>
      <c r="G159">
        <v>16</v>
      </c>
      <c r="H159">
        <v>49</v>
      </c>
      <c r="I159">
        <v>43</v>
      </c>
      <c r="J159">
        <v>32</v>
      </c>
      <c r="K159">
        <v>21</v>
      </c>
      <c r="L159">
        <v>46</v>
      </c>
      <c r="M159">
        <v>11</v>
      </c>
      <c r="N159">
        <v>9</v>
      </c>
      <c r="O159">
        <v>16</v>
      </c>
      <c r="P159">
        <v>30</v>
      </c>
      <c r="Q159">
        <v>38</v>
      </c>
      <c r="R159">
        <v>36</v>
      </c>
      <c r="S159">
        <v>18</v>
      </c>
      <c r="T159">
        <v>37</v>
      </c>
      <c r="U159">
        <v>16</v>
      </c>
      <c r="V159">
        <v>14</v>
      </c>
      <c r="W159">
        <v>25</v>
      </c>
      <c r="X159">
        <v>9</v>
      </c>
      <c r="Y159">
        <v>37</v>
      </c>
      <c r="Z159">
        <v>45</v>
      </c>
      <c r="AA159">
        <v>3</v>
      </c>
      <c r="AB159">
        <v>10</v>
      </c>
      <c r="AC159">
        <v>4</v>
      </c>
      <c r="AD159">
        <v>9</v>
      </c>
      <c r="AE159">
        <v>28</v>
      </c>
      <c r="AF159">
        <v>12</v>
      </c>
      <c r="AG159">
        <v>31</v>
      </c>
      <c r="AH159">
        <v>19</v>
      </c>
      <c r="AI159">
        <v>21</v>
      </c>
      <c r="AJ159">
        <v>5</v>
      </c>
      <c r="AK159">
        <v>1</v>
      </c>
      <c r="AL159">
        <v>42</v>
      </c>
      <c r="AM159">
        <v>3</v>
      </c>
      <c r="AN159">
        <v>1</v>
      </c>
      <c r="AO159">
        <v>15</v>
      </c>
      <c r="AP159">
        <v>34</v>
      </c>
      <c r="AQ159">
        <v>14</v>
      </c>
      <c r="AR159">
        <v>10</v>
      </c>
      <c r="AS159">
        <v>10</v>
      </c>
      <c r="AT159">
        <v>45</v>
      </c>
      <c r="AU159">
        <v>28</v>
      </c>
      <c r="AV159">
        <v>37</v>
      </c>
      <c r="AW159">
        <v>12</v>
      </c>
      <c r="AX159">
        <v>13</v>
      </c>
      <c r="AY159">
        <v>13</v>
      </c>
      <c r="AZ159">
        <v>42</v>
      </c>
      <c r="BA159">
        <v>38</v>
      </c>
      <c r="BB159">
        <v>43</v>
      </c>
      <c r="BC159">
        <v>10</v>
      </c>
      <c r="BD159">
        <v>43</v>
      </c>
      <c r="BE159">
        <v>18</v>
      </c>
      <c r="BF159">
        <v>115457</v>
      </c>
      <c r="BG159">
        <v>5692</v>
      </c>
    </row>
    <row r="160" spans="1:59" x14ac:dyDescent="0.3">
      <c r="A160" s="3">
        <v>45450</v>
      </c>
      <c r="B160" t="s">
        <v>65</v>
      </c>
      <c r="C160">
        <v>6</v>
      </c>
      <c r="D160">
        <v>809</v>
      </c>
      <c r="E160">
        <v>708</v>
      </c>
      <c r="F160">
        <v>20</v>
      </c>
      <c r="G160">
        <v>15</v>
      </c>
      <c r="H160">
        <v>49</v>
      </c>
      <c r="I160">
        <v>48</v>
      </c>
      <c r="J160">
        <v>8</v>
      </c>
      <c r="K160">
        <v>41</v>
      </c>
      <c r="L160">
        <v>33</v>
      </c>
      <c r="M160">
        <v>22</v>
      </c>
      <c r="N160">
        <v>35</v>
      </c>
      <c r="O160">
        <v>29</v>
      </c>
      <c r="P160">
        <v>4</v>
      </c>
      <c r="Q160">
        <v>36</v>
      </c>
      <c r="R160">
        <v>11</v>
      </c>
      <c r="S160">
        <v>4</v>
      </c>
      <c r="T160">
        <v>29</v>
      </c>
      <c r="U160">
        <v>1</v>
      </c>
      <c r="V160">
        <v>21</v>
      </c>
      <c r="W160">
        <v>10</v>
      </c>
      <c r="X160">
        <v>45</v>
      </c>
      <c r="Y160">
        <v>6</v>
      </c>
      <c r="Z160">
        <v>14</v>
      </c>
      <c r="AA160">
        <v>28</v>
      </c>
      <c r="AB160">
        <v>8</v>
      </c>
      <c r="AC160">
        <v>17</v>
      </c>
      <c r="AD160">
        <v>18</v>
      </c>
      <c r="AE160">
        <v>17</v>
      </c>
      <c r="AF160">
        <v>27</v>
      </c>
      <c r="AG160">
        <v>31</v>
      </c>
      <c r="AH160">
        <v>26</v>
      </c>
      <c r="AI160">
        <v>23</v>
      </c>
      <c r="AJ160">
        <v>15</v>
      </c>
      <c r="AK160">
        <v>18</v>
      </c>
      <c r="AL160">
        <v>45</v>
      </c>
      <c r="AM160">
        <v>22</v>
      </c>
      <c r="AN160">
        <v>10</v>
      </c>
      <c r="AO160">
        <v>44</v>
      </c>
      <c r="AP160">
        <v>35</v>
      </c>
      <c r="AQ160">
        <v>25</v>
      </c>
      <c r="AR160">
        <v>39</v>
      </c>
      <c r="AS160">
        <v>17</v>
      </c>
      <c r="AT160">
        <v>36</v>
      </c>
      <c r="AU160">
        <v>42</v>
      </c>
      <c r="AV160">
        <v>29</v>
      </c>
      <c r="AW160">
        <v>10</v>
      </c>
      <c r="AX160">
        <v>43</v>
      </c>
      <c r="AY160">
        <v>23</v>
      </c>
      <c r="AZ160">
        <v>23</v>
      </c>
      <c r="BA160">
        <v>13</v>
      </c>
      <c r="BB160">
        <v>20</v>
      </c>
      <c r="BC160">
        <v>30</v>
      </c>
      <c r="BD160">
        <v>6</v>
      </c>
      <c r="BE160">
        <v>5</v>
      </c>
      <c r="BF160">
        <v>116008</v>
      </c>
      <c r="BG160">
        <v>5704</v>
      </c>
    </row>
    <row r="161" spans="1:59" x14ac:dyDescent="0.3">
      <c r="A161" s="3">
        <v>45451</v>
      </c>
      <c r="B161" t="s">
        <v>65</v>
      </c>
      <c r="C161">
        <v>6</v>
      </c>
      <c r="D161">
        <v>811</v>
      </c>
      <c r="E161">
        <v>708</v>
      </c>
      <c r="F161">
        <v>16</v>
      </c>
      <c r="G161">
        <v>48</v>
      </c>
      <c r="H161">
        <v>5</v>
      </c>
      <c r="I161">
        <v>10</v>
      </c>
      <c r="J161">
        <v>44</v>
      </c>
      <c r="K161">
        <v>6</v>
      </c>
      <c r="L161">
        <v>36</v>
      </c>
      <c r="M161">
        <v>45</v>
      </c>
      <c r="N161">
        <v>41</v>
      </c>
      <c r="O161">
        <v>44</v>
      </c>
      <c r="P161">
        <v>2</v>
      </c>
      <c r="Q161">
        <v>26</v>
      </c>
      <c r="R161">
        <v>26</v>
      </c>
      <c r="S161">
        <v>22</v>
      </c>
      <c r="T161">
        <v>3</v>
      </c>
      <c r="U161">
        <v>0</v>
      </c>
      <c r="V161">
        <v>48</v>
      </c>
      <c r="W161">
        <v>32</v>
      </c>
      <c r="X161">
        <v>12</v>
      </c>
      <c r="Y161">
        <v>49</v>
      </c>
      <c r="Z161">
        <v>29</v>
      </c>
      <c r="AA161">
        <v>42</v>
      </c>
      <c r="AB161">
        <v>12</v>
      </c>
      <c r="AC161">
        <v>35</v>
      </c>
      <c r="AD161">
        <v>32</v>
      </c>
      <c r="AE161">
        <v>27</v>
      </c>
      <c r="AF161">
        <v>48</v>
      </c>
      <c r="AG161">
        <v>3</v>
      </c>
      <c r="AH161">
        <v>48</v>
      </c>
      <c r="AI161">
        <v>49</v>
      </c>
      <c r="AJ161">
        <v>39</v>
      </c>
      <c r="AK161">
        <v>23</v>
      </c>
      <c r="AL161">
        <v>15</v>
      </c>
      <c r="AM161">
        <v>24</v>
      </c>
      <c r="AN161">
        <v>0</v>
      </c>
      <c r="AO161">
        <v>18</v>
      </c>
      <c r="AP161">
        <v>18</v>
      </c>
      <c r="AQ161">
        <v>19</v>
      </c>
      <c r="AR161">
        <v>16</v>
      </c>
      <c r="AS161">
        <v>36</v>
      </c>
      <c r="AT161">
        <v>22</v>
      </c>
      <c r="AU161">
        <v>23</v>
      </c>
      <c r="AV161">
        <v>17</v>
      </c>
      <c r="AW161">
        <v>19</v>
      </c>
      <c r="AX161">
        <v>15</v>
      </c>
      <c r="AY161">
        <v>45</v>
      </c>
      <c r="AZ161">
        <v>2</v>
      </c>
      <c r="BA161">
        <v>20</v>
      </c>
      <c r="BB161">
        <v>1</v>
      </c>
      <c r="BC161">
        <v>8</v>
      </c>
      <c r="BD161">
        <v>7</v>
      </c>
      <c r="BE161">
        <v>25</v>
      </c>
      <c r="BF161">
        <v>116558</v>
      </c>
      <c r="BG161">
        <v>5716</v>
      </c>
    </row>
    <row r="162" spans="1:59" x14ac:dyDescent="0.3">
      <c r="A162" s="3">
        <v>45452</v>
      </c>
      <c r="B162" t="s">
        <v>65</v>
      </c>
      <c r="C162">
        <v>6</v>
      </c>
      <c r="D162">
        <v>813</v>
      </c>
      <c r="E162">
        <v>709</v>
      </c>
      <c r="F162">
        <v>7</v>
      </c>
      <c r="G162">
        <v>44</v>
      </c>
      <c r="H162">
        <v>5</v>
      </c>
      <c r="I162">
        <v>22</v>
      </c>
      <c r="J162">
        <v>8</v>
      </c>
      <c r="K162">
        <v>3</v>
      </c>
      <c r="L162">
        <v>30</v>
      </c>
      <c r="M162">
        <v>25</v>
      </c>
      <c r="N162">
        <v>30</v>
      </c>
      <c r="O162">
        <v>37</v>
      </c>
      <c r="P162">
        <v>13</v>
      </c>
      <c r="Q162">
        <v>17</v>
      </c>
      <c r="R162">
        <v>46</v>
      </c>
      <c r="S162">
        <v>23</v>
      </c>
      <c r="T162">
        <v>33</v>
      </c>
      <c r="U162">
        <v>43</v>
      </c>
      <c r="V162">
        <v>23</v>
      </c>
      <c r="W162">
        <v>20</v>
      </c>
      <c r="X162">
        <v>25</v>
      </c>
      <c r="Y162">
        <v>1</v>
      </c>
      <c r="Z162">
        <v>39</v>
      </c>
      <c r="AA162">
        <v>28</v>
      </c>
      <c r="AB162">
        <v>27</v>
      </c>
      <c r="AC162">
        <v>10</v>
      </c>
      <c r="AD162">
        <v>19</v>
      </c>
      <c r="AE162">
        <v>7</v>
      </c>
      <c r="AF162">
        <v>8</v>
      </c>
      <c r="AG162">
        <v>21</v>
      </c>
      <c r="AH162">
        <v>23</v>
      </c>
      <c r="AI162">
        <v>37</v>
      </c>
      <c r="AJ162">
        <v>19</v>
      </c>
      <c r="AK162">
        <v>35</v>
      </c>
      <c r="AL162">
        <v>32</v>
      </c>
      <c r="AM162">
        <v>41</v>
      </c>
      <c r="AN162">
        <v>34</v>
      </c>
      <c r="AO162">
        <v>11</v>
      </c>
      <c r="AP162">
        <v>11</v>
      </c>
      <c r="AQ162">
        <v>21</v>
      </c>
      <c r="AR162">
        <v>40</v>
      </c>
      <c r="AS162">
        <v>30</v>
      </c>
      <c r="AT162">
        <v>18</v>
      </c>
      <c r="AU162">
        <v>40</v>
      </c>
      <c r="AV162">
        <v>27</v>
      </c>
      <c r="AW162">
        <v>35</v>
      </c>
      <c r="AX162">
        <v>19</v>
      </c>
      <c r="AY162">
        <v>28</v>
      </c>
      <c r="AZ162">
        <v>4</v>
      </c>
      <c r="BA162">
        <v>36</v>
      </c>
      <c r="BB162">
        <v>26</v>
      </c>
      <c r="BC162">
        <v>30</v>
      </c>
      <c r="BD162">
        <v>17</v>
      </c>
      <c r="BE162">
        <v>12</v>
      </c>
      <c r="BF162">
        <v>117109</v>
      </c>
      <c r="BG162">
        <v>5728</v>
      </c>
    </row>
    <row r="163" spans="1:59" x14ac:dyDescent="0.3">
      <c r="A163" s="3">
        <v>45453</v>
      </c>
      <c r="B163" t="s">
        <v>65</v>
      </c>
      <c r="C163">
        <v>6</v>
      </c>
      <c r="D163">
        <v>814</v>
      </c>
      <c r="E163">
        <v>710</v>
      </c>
      <c r="F163">
        <v>46</v>
      </c>
      <c r="G163">
        <v>49</v>
      </c>
      <c r="H163">
        <v>19</v>
      </c>
      <c r="I163">
        <v>14</v>
      </c>
      <c r="J163">
        <v>26</v>
      </c>
      <c r="K163">
        <v>41</v>
      </c>
      <c r="L163">
        <v>29</v>
      </c>
      <c r="M163">
        <v>29</v>
      </c>
      <c r="N163">
        <v>6</v>
      </c>
      <c r="O163">
        <v>26</v>
      </c>
      <c r="P163">
        <v>37</v>
      </c>
      <c r="Q163">
        <v>17</v>
      </c>
      <c r="R163">
        <v>44</v>
      </c>
      <c r="S163">
        <v>19</v>
      </c>
      <c r="T163">
        <v>23</v>
      </c>
      <c r="U163">
        <v>46</v>
      </c>
      <c r="V163">
        <v>39</v>
      </c>
      <c r="W163">
        <v>34</v>
      </c>
      <c r="X163">
        <v>21</v>
      </c>
      <c r="Y163">
        <v>5</v>
      </c>
      <c r="Z163">
        <v>25</v>
      </c>
      <c r="AA163">
        <v>33</v>
      </c>
      <c r="AB163">
        <v>16</v>
      </c>
      <c r="AC163">
        <v>10</v>
      </c>
      <c r="AD163">
        <v>33</v>
      </c>
      <c r="AE163">
        <v>39</v>
      </c>
      <c r="AF163">
        <v>32</v>
      </c>
      <c r="AG163">
        <v>15</v>
      </c>
      <c r="AH163">
        <v>45</v>
      </c>
      <c r="AI163">
        <v>42</v>
      </c>
      <c r="AJ163">
        <v>41</v>
      </c>
      <c r="AK163">
        <v>18</v>
      </c>
      <c r="AL163">
        <v>10</v>
      </c>
      <c r="AM163">
        <v>34</v>
      </c>
      <c r="AN163">
        <v>26</v>
      </c>
      <c r="AO163">
        <v>24</v>
      </c>
      <c r="AP163">
        <v>42</v>
      </c>
      <c r="AQ163">
        <v>16</v>
      </c>
      <c r="AR163">
        <v>25</v>
      </c>
      <c r="AS163">
        <v>24</v>
      </c>
      <c r="AT163">
        <v>47</v>
      </c>
      <c r="AU163">
        <v>19</v>
      </c>
      <c r="AV163">
        <v>42</v>
      </c>
      <c r="AW163">
        <v>45</v>
      </c>
      <c r="AX163">
        <v>48</v>
      </c>
      <c r="AY163">
        <v>16</v>
      </c>
      <c r="AZ163">
        <v>28</v>
      </c>
      <c r="BA163">
        <v>39</v>
      </c>
      <c r="BB163">
        <v>36</v>
      </c>
      <c r="BC163">
        <v>6</v>
      </c>
      <c r="BD163">
        <v>30</v>
      </c>
      <c r="BE163">
        <v>32</v>
      </c>
      <c r="BF163">
        <v>117660</v>
      </c>
      <c r="BG163">
        <v>5740</v>
      </c>
    </row>
    <row r="164" spans="1:59" x14ac:dyDescent="0.3">
      <c r="A164" s="3">
        <v>45454</v>
      </c>
      <c r="B164" t="s">
        <v>65</v>
      </c>
      <c r="C164">
        <v>6</v>
      </c>
      <c r="D164">
        <v>816</v>
      </c>
      <c r="E164">
        <v>710</v>
      </c>
      <c r="F164">
        <v>45</v>
      </c>
      <c r="G164">
        <v>11</v>
      </c>
      <c r="H164">
        <v>23</v>
      </c>
      <c r="I164">
        <v>39</v>
      </c>
      <c r="J164">
        <v>44</v>
      </c>
      <c r="K164">
        <v>34</v>
      </c>
      <c r="L164">
        <v>14</v>
      </c>
      <c r="M164">
        <v>40</v>
      </c>
      <c r="N164">
        <v>18</v>
      </c>
      <c r="O164">
        <v>26</v>
      </c>
      <c r="P164">
        <v>26</v>
      </c>
      <c r="Q164">
        <v>30</v>
      </c>
      <c r="R164">
        <v>11</v>
      </c>
      <c r="S164">
        <v>11</v>
      </c>
      <c r="T164">
        <v>22</v>
      </c>
      <c r="U164">
        <v>18</v>
      </c>
      <c r="V164">
        <v>38</v>
      </c>
      <c r="W164">
        <v>34</v>
      </c>
      <c r="X164">
        <v>48</v>
      </c>
      <c r="Y164">
        <v>0</v>
      </c>
      <c r="Z164">
        <v>38</v>
      </c>
      <c r="AA164">
        <v>41</v>
      </c>
      <c r="AB164">
        <v>46</v>
      </c>
      <c r="AC164">
        <v>23</v>
      </c>
      <c r="AD164">
        <v>2</v>
      </c>
      <c r="AE164">
        <v>47</v>
      </c>
      <c r="AF164">
        <v>31</v>
      </c>
      <c r="AG164">
        <v>6</v>
      </c>
      <c r="AH164">
        <v>35</v>
      </c>
      <c r="AI164">
        <v>45</v>
      </c>
      <c r="AJ164">
        <v>49</v>
      </c>
      <c r="AK164">
        <v>32</v>
      </c>
      <c r="AL164">
        <v>38</v>
      </c>
      <c r="AM164">
        <v>3</v>
      </c>
      <c r="AN164">
        <v>43</v>
      </c>
      <c r="AO164">
        <v>37</v>
      </c>
      <c r="AP164">
        <v>15</v>
      </c>
      <c r="AQ164">
        <v>31</v>
      </c>
      <c r="AR164">
        <v>13</v>
      </c>
      <c r="AS164">
        <v>20</v>
      </c>
      <c r="AT164">
        <v>18</v>
      </c>
      <c r="AU164">
        <v>25</v>
      </c>
      <c r="AV164">
        <v>1</v>
      </c>
      <c r="AW164">
        <v>7</v>
      </c>
      <c r="AX164">
        <v>35</v>
      </c>
      <c r="AY164">
        <v>12</v>
      </c>
      <c r="AZ164">
        <v>30</v>
      </c>
      <c r="BA164">
        <v>44</v>
      </c>
      <c r="BB164">
        <v>47</v>
      </c>
      <c r="BC164">
        <v>27</v>
      </c>
      <c r="BD164">
        <v>22</v>
      </c>
      <c r="BE164">
        <v>37</v>
      </c>
      <c r="BF164">
        <v>118210</v>
      </c>
      <c r="BG164">
        <v>5752</v>
      </c>
    </row>
    <row r="165" spans="1:59" x14ac:dyDescent="0.3">
      <c r="A165" s="3">
        <v>45455</v>
      </c>
      <c r="B165" t="s">
        <v>65</v>
      </c>
      <c r="C165">
        <v>6</v>
      </c>
      <c r="D165">
        <v>817</v>
      </c>
      <c r="E165">
        <v>711</v>
      </c>
      <c r="F165">
        <v>17</v>
      </c>
      <c r="G165">
        <v>38</v>
      </c>
      <c r="H165">
        <v>39</v>
      </c>
      <c r="I165">
        <v>17</v>
      </c>
      <c r="J165">
        <v>7</v>
      </c>
      <c r="K165">
        <v>41</v>
      </c>
      <c r="L165">
        <v>40</v>
      </c>
      <c r="M165">
        <v>44</v>
      </c>
      <c r="N165">
        <v>9</v>
      </c>
      <c r="O165">
        <v>21</v>
      </c>
      <c r="P165">
        <v>37</v>
      </c>
      <c r="Q165">
        <v>8</v>
      </c>
      <c r="R165">
        <v>28</v>
      </c>
      <c r="S165">
        <v>26</v>
      </c>
      <c r="T165">
        <v>19</v>
      </c>
      <c r="U165">
        <v>21</v>
      </c>
      <c r="V165">
        <v>11</v>
      </c>
      <c r="W165">
        <v>17</v>
      </c>
      <c r="X165">
        <v>47</v>
      </c>
      <c r="Y165">
        <v>10</v>
      </c>
      <c r="Z165">
        <v>26</v>
      </c>
      <c r="AA165">
        <v>17</v>
      </c>
      <c r="AB165">
        <v>1</v>
      </c>
      <c r="AC165">
        <v>46</v>
      </c>
      <c r="AD165">
        <v>23</v>
      </c>
      <c r="AE165">
        <v>19</v>
      </c>
      <c r="AF165">
        <v>29</v>
      </c>
      <c r="AG165">
        <v>24</v>
      </c>
      <c r="AH165">
        <v>48</v>
      </c>
      <c r="AI165">
        <v>37</v>
      </c>
      <c r="AJ165">
        <v>11</v>
      </c>
      <c r="AK165">
        <v>3</v>
      </c>
      <c r="AL165">
        <v>28</v>
      </c>
      <c r="AM165">
        <v>30</v>
      </c>
      <c r="AN165">
        <v>23</v>
      </c>
      <c r="AO165">
        <v>0</v>
      </c>
      <c r="AP165">
        <v>9</v>
      </c>
      <c r="AQ165">
        <v>11</v>
      </c>
      <c r="AR165">
        <v>47</v>
      </c>
      <c r="AS165">
        <v>2</v>
      </c>
      <c r="AT165">
        <v>13</v>
      </c>
      <c r="AU165">
        <v>37</v>
      </c>
      <c r="AV165">
        <v>2</v>
      </c>
      <c r="AW165">
        <v>12</v>
      </c>
      <c r="AX165">
        <v>41</v>
      </c>
      <c r="AY165">
        <v>37</v>
      </c>
      <c r="AZ165">
        <v>35</v>
      </c>
      <c r="BA165">
        <v>22</v>
      </c>
      <c r="BB165">
        <v>16</v>
      </c>
      <c r="BC165">
        <v>35</v>
      </c>
      <c r="BD165">
        <v>5</v>
      </c>
      <c r="BE165">
        <v>48</v>
      </c>
      <c r="BF165">
        <v>118761</v>
      </c>
      <c r="BG165">
        <v>5764</v>
      </c>
    </row>
    <row r="166" spans="1:59" x14ac:dyDescent="0.3">
      <c r="A166" s="3">
        <v>45456</v>
      </c>
      <c r="B166" t="s">
        <v>65</v>
      </c>
      <c r="C166">
        <v>6</v>
      </c>
      <c r="D166">
        <v>819</v>
      </c>
      <c r="E166">
        <v>712</v>
      </c>
      <c r="F166">
        <v>25</v>
      </c>
      <c r="G166">
        <v>10</v>
      </c>
      <c r="H166">
        <v>16</v>
      </c>
      <c r="I166">
        <v>44</v>
      </c>
      <c r="J166">
        <v>40</v>
      </c>
      <c r="K166">
        <v>0</v>
      </c>
      <c r="L166">
        <v>18</v>
      </c>
      <c r="M166">
        <v>30</v>
      </c>
      <c r="N166">
        <v>32</v>
      </c>
      <c r="O166">
        <v>26</v>
      </c>
      <c r="P166">
        <v>35</v>
      </c>
      <c r="Q166">
        <v>43</v>
      </c>
      <c r="R166">
        <v>8</v>
      </c>
      <c r="S166">
        <v>47</v>
      </c>
      <c r="T166">
        <v>12</v>
      </c>
      <c r="U166">
        <v>17</v>
      </c>
      <c r="V166">
        <v>25</v>
      </c>
      <c r="W166">
        <v>46</v>
      </c>
      <c r="X166">
        <v>15</v>
      </c>
      <c r="Y166">
        <v>9</v>
      </c>
      <c r="Z166">
        <v>28</v>
      </c>
      <c r="AA166">
        <v>21</v>
      </c>
      <c r="AB166">
        <v>3</v>
      </c>
      <c r="AC166">
        <v>45</v>
      </c>
      <c r="AD166">
        <v>26</v>
      </c>
      <c r="AE166">
        <v>0</v>
      </c>
      <c r="AF166">
        <v>43</v>
      </c>
      <c r="AG166">
        <v>7</v>
      </c>
      <c r="AH166">
        <v>45</v>
      </c>
      <c r="AI166">
        <v>36</v>
      </c>
      <c r="AJ166">
        <v>32</v>
      </c>
      <c r="AK166">
        <v>21</v>
      </c>
      <c r="AL166">
        <v>19</v>
      </c>
      <c r="AM166">
        <v>21</v>
      </c>
      <c r="AN166">
        <v>40</v>
      </c>
      <c r="AO166">
        <v>16</v>
      </c>
      <c r="AP166">
        <v>29</v>
      </c>
      <c r="AQ166">
        <v>29</v>
      </c>
      <c r="AR166">
        <v>28</v>
      </c>
      <c r="AS166">
        <v>11</v>
      </c>
      <c r="AT166">
        <v>8</v>
      </c>
      <c r="AU166">
        <v>12</v>
      </c>
      <c r="AV166">
        <v>33</v>
      </c>
      <c r="AW166">
        <v>14</v>
      </c>
      <c r="AX166">
        <v>37</v>
      </c>
      <c r="AY166">
        <v>21</v>
      </c>
      <c r="AZ166">
        <v>45</v>
      </c>
      <c r="BA166">
        <v>1</v>
      </c>
      <c r="BB166">
        <v>16</v>
      </c>
      <c r="BC166">
        <v>45</v>
      </c>
      <c r="BD166">
        <v>43</v>
      </c>
      <c r="BE166">
        <v>9</v>
      </c>
      <c r="BF166">
        <v>119312</v>
      </c>
      <c r="BG166">
        <v>5776</v>
      </c>
    </row>
    <row r="167" spans="1:59" x14ac:dyDescent="0.3">
      <c r="A167" s="3">
        <v>45457</v>
      </c>
      <c r="B167" t="s">
        <v>65</v>
      </c>
      <c r="C167">
        <v>6</v>
      </c>
      <c r="D167">
        <v>821</v>
      </c>
      <c r="E167">
        <v>713</v>
      </c>
      <c r="F167">
        <v>48</v>
      </c>
      <c r="G167">
        <v>12</v>
      </c>
      <c r="H167">
        <v>34</v>
      </c>
      <c r="I167">
        <v>29</v>
      </c>
      <c r="J167">
        <v>5</v>
      </c>
      <c r="K167">
        <v>41</v>
      </c>
      <c r="L167">
        <v>42</v>
      </c>
      <c r="M167">
        <v>4</v>
      </c>
      <c r="N167">
        <v>26</v>
      </c>
      <c r="O167">
        <v>46</v>
      </c>
      <c r="P167">
        <v>44</v>
      </c>
      <c r="Q167">
        <v>28</v>
      </c>
      <c r="R167">
        <v>46</v>
      </c>
      <c r="S167">
        <v>36</v>
      </c>
      <c r="T167">
        <v>28</v>
      </c>
      <c r="U167">
        <v>30</v>
      </c>
      <c r="V167">
        <v>43</v>
      </c>
      <c r="W167">
        <v>37</v>
      </c>
      <c r="X167">
        <v>16</v>
      </c>
      <c r="Y167">
        <v>39</v>
      </c>
      <c r="Z167">
        <v>16</v>
      </c>
      <c r="AA167">
        <v>40</v>
      </c>
      <c r="AB167">
        <v>34</v>
      </c>
      <c r="AC167">
        <v>48</v>
      </c>
      <c r="AD167">
        <v>6</v>
      </c>
      <c r="AE167">
        <v>8</v>
      </c>
      <c r="AF167">
        <v>39</v>
      </c>
      <c r="AG167">
        <v>46</v>
      </c>
      <c r="AH167">
        <v>34</v>
      </c>
      <c r="AI167">
        <v>44</v>
      </c>
      <c r="AJ167">
        <v>34</v>
      </c>
      <c r="AK167">
        <v>34</v>
      </c>
      <c r="AL167">
        <v>19</v>
      </c>
      <c r="AM167">
        <v>47</v>
      </c>
      <c r="AN167">
        <v>29</v>
      </c>
      <c r="AO167">
        <v>47</v>
      </c>
      <c r="AP167">
        <v>12</v>
      </c>
      <c r="AQ167">
        <v>20</v>
      </c>
      <c r="AR167">
        <v>35</v>
      </c>
      <c r="AS167">
        <v>24</v>
      </c>
      <c r="AT167">
        <v>26</v>
      </c>
      <c r="AU167">
        <v>33</v>
      </c>
      <c r="AV167">
        <v>9</v>
      </c>
      <c r="AW167">
        <v>9</v>
      </c>
      <c r="AX167">
        <v>8</v>
      </c>
      <c r="AY167">
        <v>29</v>
      </c>
      <c r="AZ167">
        <v>32</v>
      </c>
      <c r="BA167">
        <v>26</v>
      </c>
      <c r="BB167">
        <v>14</v>
      </c>
      <c r="BC167">
        <v>12</v>
      </c>
      <c r="BD167">
        <v>13</v>
      </c>
      <c r="BE167">
        <v>31</v>
      </c>
      <c r="BF167">
        <v>119863</v>
      </c>
      <c r="BG167">
        <v>5789</v>
      </c>
    </row>
    <row r="168" spans="1:59" x14ac:dyDescent="0.3">
      <c r="A168" s="3">
        <v>45458</v>
      </c>
      <c r="B168" t="s">
        <v>65</v>
      </c>
      <c r="C168">
        <v>6</v>
      </c>
      <c r="D168">
        <v>822</v>
      </c>
      <c r="E168">
        <v>713</v>
      </c>
      <c r="F168">
        <v>25</v>
      </c>
      <c r="G168">
        <v>6</v>
      </c>
      <c r="H168">
        <v>0</v>
      </c>
      <c r="I168">
        <v>27</v>
      </c>
      <c r="J168">
        <v>21</v>
      </c>
      <c r="K168">
        <v>36</v>
      </c>
      <c r="L168">
        <v>20</v>
      </c>
      <c r="M168">
        <v>8</v>
      </c>
      <c r="N168">
        <v>33</v>
      </c>
      <c r="O168">
        <v>29</v>
      </c>
      <c r="P168">
        <v>41</v>
      </c>
      <c r="Q168">
        <v>19</v>
      </c>
      <c r="R168">
        <v>7</v>
      </c>
      <c r="S168">
        <v>46</v>
      </c>
      <c r="T168">
        <v>33</v>
      </c>
      <c r="U168">
        <v>40</v>
      </c>
      <c r="V168">
        <v>11</v>
      </c>
      <c r="W168">
        <v>28</v>
      </c>
      <c r="X168">
        <v>27</v>
      </c>
      <c r="Y168">
        <v>14</v>
      </c>
      <c r="Z168">
        <v>34</v>
      </c>
      <c r="AA168">
        <v>3</v>
      </c>
      <c r="AB168">
        <v>39</v>
      </c>
      <c r="AC168">
        <v>36</v>
      </c>
      <c r="AD168">
        <v>5</v>
      </c>
      <c r="AE168">
        <v>25</v>
      </c>
      <c r="AF168">
        <v>33</v>
      </c>
      <c r="AG168">
        <v>23</v>
      </c>
      <c r="AH168">
        <v>7</v>
      </c>
      <c r="AI168">
        <v>32</v>
      </c>
      <c r="AJ168">
        <v>20</v>
      </c>
      <c r="AK168">
        <v>45</v>
      </c>
      <c r="AL168">
        <v>25</v>
      </c>
      <c r="AM168">
        <v>29</v>
      </c>
      <c r="AN168">
        <v>43</v>
      </c>
      <c r="AO168">
        <v>0</v>
      </c>
      <c r="AP168">
        <v>3</v>
      </c>
      <c r="AQ168">
        <v>31</v>
      </c>
      <c r="AR168">
        <v>36</v>
      </c>
      <c r="AS168">
        <v>36</v>
      </c>
      <c r="AT168">
        <v>36</v>
      </c>
      <c r="AU168">
        <v>31</v>
      </c>
      <c r="AV168">
        <v>46</v>
      </c>
      <c r="AW168">
        <v>9</v>
      </c>
      <c r="AX168">
        <v>14</v>
      </c>
      <c r="AY168">
        <v>9</v>
      </c>
      <c r="AZ168">
        <v>25</v>
      </c>
      <c r="BA168">
        <v>38</v>
      </c>
      <c r="BB168">
        <v>46</v>
      </c>
      <c r="BC168">
        <v>10</v>
      </c>
      <c r="BD168">
        <v>45</v>
      </c>
      <c r="BE168">
        <v>44</v>
      </c>
      <c r="BF168">
        <v>120413</v>
      </c>
      <c r="BG168">
        <v>5801</v>
      </c>
    </row>
    <row r="169" spans="1:59" x14ac:dyDescent="0.3">
      <c r="A169" s="3">
        <v>45459</v>
      </c>
      <c r="B169" t="s">
        <v>65</v>
      </c>
      <c r="C169">
        <v>6</v>
      </c>
      <c r="D169">
        <v>824</v>
      </c>
      <c r="E169">
        <v>714</v>
      </c>
      <c r="F169">
        <v>26</v>
      </c>
      <c r="G169">
        <v>14</v>
      </c>
      <c r="H169">
        <v>35</v>
      </c>
      <c r="I169">
        <v>12</v>
      </c>
      <c r="J169">
        <v>48</v>
      </c>
      <c r="K169">
        <v>29</v>
      </c>
      <c r="L169">
        <v>24</v>
      </c>
      <c r="M169">
        <v>49</v>
      </c>
      <c r="N169">
        <v>47</v>
      </c>
      <c r="O169">
        <v>18</v>
      </c>
      <c r="P169">
        <v>27</v>
      </c>
      <c r="Q169">
        <v>1</v>
      </c>
      <c r="R169">
        <v>24</v>
      </c>
      <c r="S169">
        <v>17</v>
      </c>
      <c r="T169">
        <v>6</v>
      </c>
      <c r="U169">
        <v>13</v>
      </c>
      <c r="V169">
        <v>21</v>
      </c>
      <c r="W169">
        <v>23</v>
      </c>
      <c r="X169">
        <v>26</v>
      </c>
      <c r="Y169">
        <v>24</v>
      </c>
      <c r="Z169">
        <v>11</v>
      </c>
      <c r="AA169">
        <v>14</v>
      </c>
      <c r="AB169">
        <v>36</v>
      </c>
      <c r="AC169">
        <v>11</v>
      </c>
      <c r="AD169">
        <v>7</v>
      </c>
      <c r="AE169">
        <v>35</v>
      </c>
      <c r="AF169">
        <v>14</v>
      </c>
      <c r="AG169">
        <v>25</v>
      </c>
      <c r="AH169">
        <v>9</v>
      </c>
      <c r="AI169">
        <v>40</v>
      </c>
      <c r="AJ169">
        <v>29</v>
      </c>
      <c r="AK169">
        <v>5</v>
      </c>
      <c r="AL169">
        <v>1</v>
      </c>
      <c r="AM169">
        <v>43</v>
      </c>
      <c r="AN169">
        <v>41</v>
      </c>
      <c r="AO169">
        <v>27</v>
      </c>
      <c r="AP169">
        <v>39</v>
      </c>
      <c r="AQ169">
        <v>6</v>
      </c>
      <c r="AR169">
        <v>28</v>
      </c>
      <c r="AS169">
        <v>23</v>
      </c>
      <c r="AT169">
        <v>9</v>
      </c>
      <c r="AU169">
        <v>0</v>
      </c>
      <c r="AV169">
        <v>28</v>
      </c>
      <c r="AW169">
        <v>29</v>
      </c>
      <c r="AX169">
        <v>49</v>
      </c>
      <c r="AY169">
        <v>8</v>
      </c>
      <c r="AZ169">
        <v>39</v>
      </c>
      <c r="BA169">
        <v>24</v>
      </c>
      <c r="BB169">
        <v>27</v>
      </c>
      <c r="BC169">
        <v>5</v>
      </c>
      <c r="BD169">
        <v>48</v>
      </c>
      <c r="BE169">
        <v>27</v>
      </c>
      <c r="BF169">
        <v>120964</v>
      </c>
      <c r="BG169">
        <v>5813</v>
      </c>
    </row>
    <row r="170" spans="1:59" x14ac:dyDescent="0.3">
      <c r="A170" s="3">
        <v>45460</v>
      </c>
      <c r="B170" t="s">
        <v>65</v>
      </c>
      <c r="C170">
        <v>6</v>
      </c>
      <c r="D170">
        <v>826</v>
      </c>
      <c r="E170">
        <v>715</v>
      </c>
      <c r="F170">
        <v>36</v>
      </c>
      <c r="G170">
        <v>37</v>
      </c>
      <c r="H170">
        <v>34</v>
      </c>
      <c r="I170">
        <v>0</v>
      </c>
      <c r="J170">
        <v>23</v>
      </c>
      <c r="K170">
        <v>30</v>
      </c>
      <c r="L170">
        <v>28</v>
      </c>
      <c r="M170">
        <v>32</v>
      </c>
      <c r="N170">
        <v>7</v>
      </c>
      <c r="O170">
        <v>5</v>
      </c>
      <c r="P170">
        <v>25</v>
      </c>
      <c r="Q170">
        <v>22</v>
      </c>
      <c r="R170">
        <v>36</v>
      </c>
      <c r="S170">
        <v>32</v>
      </c>
      <c r="T170">
        <v>35</v>
      </c>
      <c r="U170">
        <v>34</v>
      </c>
      <c r="V170">
        <v>32</v>
      </c>
      <c r="W170">
        <v>31</v>
      </c>
      <c r="X170">
        <v>15</v>
      </c>
      <c r="Y170">
        <v>17</v>
      </c>
      <c r="Z170">
        <v>16</v>
      </c>
      <c r="AA170">
        <v>8</v>
      </c>
      <c r="AB170">
        <v>1</v>
      </c>
      <c r="AC170">
        <v>23</v>
      </c>
      <c r="AD170">
        <v>1</v>
      </c>
      <c r="AE170">
        <v>12</v>
      </c>
      <c r="AF170">
        <v>45</v>
      </c>
      <c r="AG170">
        <v>22</v>
      </c>
      <c r="AH170">
        <v>30</v>
      </c>
      <c r="AI170">
        <v>21</v>
      </c>
      <c r="AJ170">
        <v>33</v>
      </c>
      <c r="AK170">
        <v>42</v>
      </c>
      <c r="AL170">
        <v>34</v>
      </c>
      <c r="AM170">
        <v>3</v>
      </c>
      <c r="AN170">
        <v>12</v>
      </c>
      <c r="AO170">
        <v>7</v>
      </c>
      <c r="AP170">
        <v>34</v>
      </c>
      <c r="AQ170">
        <v>11</v>
      </c>
      <c r="AR170">
        <v>4</v>
      </c>
      <c r="AS170">
        <v>46</v>
      </c>
      <c r="AT170">
        <v>12</v>
      </c>
      <c r="AU170">
        <v>4</v>
      </c>
      <c r="AV170">
        <v>6</v>
      </c>
      <c r="AW170">
        <v>39</v>
      </c>
      <c r="AX170">
        <v>2</v>
      </c>
      <c r="AY170">
        <v>9</v>
      </c>
      <c r="AZ170">
        <v>45</v>
      </c>
      <c r="BA170">
        <v>10</v>
      </c>
      <c r="BB170">
        <v>29</v>
      </c>
      <c r="BC170">
        <v>45</v>
      </c>
      <c r="BD170">
        <v>38</v>
      </c>
      <c r="BE170">
        <v>39</v>
      </c>
      <c r="BF170">
        <v>121515</v>
      </c>
      <c r="BG170">
        <v>5825</v>
      </c>
    </row>
    <row r="171" spans="1:59" x14ac:dyDescent="0.3">
      <c r="A171" s="3">
        <v>45461</v>
      </c>
      <c r="B171" t="s">
        <v>65</v>
      </c>
      <c r="C171">
        <v>6</v>
      </c>
      <c r="D171">
        <v>827</v>
      </c>
      <c r="E171">
        <v>715</v>
      </c>
      <c r="F171">
        <v>46</v>
      </c>
      <c r="G171">
        <v>10</v>
      </c>
      <c r="H171">
        <v>29</v>
      </c>
      <c r="I171">
        <v>30</v>
      </c>
      <c r="J171">
        <v>0</v>
      </c>
      <c r="K171">
        <v>24</v>
      </c>
      <c r="L171">
        <v>9</v>
      </c>
      <c r="M171">
        <v>24</v>
      </c>
      <c r="N171">
        <v>28</v>
      </c>
      <c r="O171">
        <v>8</v>
      </c>
      <c r="P171">
        <v>2</v>
      </c>
      <c r="Q171">
        <v>20</v>
      </c>
      <c r="R171">
        <v>47</v>
      </c>
      <c r="S171">
        <v>26</v>
      </c>
      <c r="T171">
        <v>3</v>
      </c>
      <c r="U171">
        <v>23</v>
      </c>
      <c r="V171">
        <v>2</v>
      </c>
      <c r="W171">
        <v>36</v>
      </c>
      <c r="X171">
        <v>0</v>
      </c>
      <c r="Y171">
        <v>23</v>
      </c>
      <c r="Z171">
        <v>34</v>
      </c>
      <c r="AA171">
        <v>33</v>
      </c>
      <c r="AB171">
        <v>31</v>
      </c>
      <c r="AC171">
        <v>13</v>
      </c>
      <c r="AD171">
        <v>4</v>
      </c>
      <c r="AE171">
        <v>19</v>
      </c>
      <c r="AF171">
        <v>47</v>
      </c>
      <c r="AG171">
        <v>11</v>
      </c>
      <c r="AH171">
        <v>6</v>
      </c>
      <c r="AI171">
        <v>42</v>
      </c>
      <c r="AJ171">
        <v>39</v>
      </c>
      <c r="AK171">
        <v>44</v>
      </c>
      <c r="AL171">
        <v>41</v>
      </c>
      <c r="AM171">
        <v>46</v>
      </c>
      <c r="AN171">
        <v>22</v>
      </c>
      <c r="AO171">
        <v>12</v>
      </c>
      <c r="AP171">
        <v>8</v>
      </c>
      <c r="AQ171">
        <v>15</v>
      </c>
      <c r="AR171">
        <v>4</v>
      </c>
      <c r="AS171">
        <v>40</v>
      </c>
      <c r="AT171">
        <v>7</v>
      </c>
      <c r="AU171">
        <v>10</v>
      </c>
      <c r="AV171">
        <v>29</v>
      </c>
      <c r="AW171">
        <v>12</v>
      </c>
      <c r="AX171">
        <v>46</v>
      </c>
      <c r="AY171">
        <v>36</v>
      </c>
      <c r="AZ171">
        <v>31</v>
      </c>
      <c r="BA171">
        <v>10</v>
      </c>
      <c r="BB171">
        <v>16</v>
      </c>
      <c r="BC171">
        <v>31</v>
      </c>
      <c r="BD171">
        <v>8</v>
      </c>
      <c r="BE171">
        <v>45</v>
      </c>
      <c r="BF171">
        <v>122065</v>
      </c>
      <c r="BG171">
        <v>5837</v>
      </c>
    </row>
    <row r="172" spans="1:59" x14ac:dyDescent="0.3">
      <c r="A172" s="3">
        <v>45462</v>
      </c>
      <c r="B172" t="s">
        <v>65</v>
      </c>
      <c r="C172">
        <v>6</v>
      </c>
      <c r="D172">
        <v>829</v>
      </c>
      <c r="E172">
        <v>716</v>
      </c>
      <c r="F172">
        <v>32</v>
      </c>
      <c r="G172">
        <v>30</v>
      </c>
      <c r="H172">
        <v>9</v>
      </c>
      <c r="I172">
        <v>21</v>
      </c>
      <c r="J172">
        <v>30</v>
      </c>
      <c r="K172">
        <v>40</v>
      </c>
      <c r="L172">
        <v>13</v>
      </c>
      <c r="M172">
        <v>45</v>
      </c>
      <c r="N172">
        <v>9</v>
      </c>
      <c r="O172">
        <v>42</v>
      </c>
      <c r="P172">
        <v>3</v>
      </c>
      <c r="Q172">
        <v>43</v>
      </c>
      <c r="R172">
        <v>11</v>
      </c>
      <c r="S172">
        <v>43</v>
      </c>
      <c r="T172">
        <v>19</v>
      </c>
      <c r="U172">
        <v>4</v>
      </c>
      <c r="V172">
        <v>23</v>
      </c>
      <c r="W172">
        <v>29</v>
      </c>
      <c r="X172">
        <v>2</v>
      </c>
      <c r="Y172">
        <v>31</v>
      </c>
      <c r="Z172">
        <v>25</v>
      </c>
      <c r="AA172">
        <v>35</v>
      </c>
      <c r="AB172">
        <v>40</v>
      </c>
      <c r="AC172">
        <v>28</v>
      </c>
      <c r="AD172">
        <v>16</v>
      </c>
      <c r="AE172">
        <v>9</v>
      </c>
      <c r="AF172">
        <v>3</v>
      </c>
      <c r="AG172">
        <v>21</v>
      </c>
      <c r="AH172">
        <v>19</v>
      </c>
      <c r="AI172">
        <v>33</v>
      </c>
      <c r="AJ172">
        <v>5</v>
      </c>
      <c r="AK172">
        <v>2</v>
      </c>
      <c r="AL172">
        <v>13</v>
      </c>
      <c r="AM172">
        <v>25</v>
      </c>
      <c r="AN172">
        <v>15</v>
      </c>
      <c r="AO172">
        <v>44</v>
      </c>
      <c r="AP172">
        <v>11</v>
      </c>
      <c r="AQ172">
        <v>45</v>
      </c>
      <c r="AR172">
        <v>22</v>
      </c>
      <c r="AS172">
        <v>3</v>
      </c>
      <c r="AT172">
        <v>12</v>
      </c>
      <c r="AU172">
        <v>28</v>
      </c>
      <c r="AV172">
        <v>15</v>
      </c>
      <c r="AW172">
        <v>16</v>
      </c>
      <c r="AX172">
        <v>42</v>
      </c>
      <c r="AY172">
        <v>14</v>
      </c>
      <c r="AZ172">
        <v>5</v>
      </c>
      <c r="BA172">
        <v>14</v>
      </c>
      <c r="BB172">
        <v>17</v>
      </c>
      <c r="BC172">
        <v>38</v>
      </c>
      <c r="BD172">
        <v>38</v>
      </c>
      <c r="BE172">
        <v>40</v>
      </c>
      <c r="BF172">
        <v>122616</v>
      </c>
      <c r="BG172">
        <v>5849</v>
      </c>
    </row>
    <row r="173" spans="1:59" x14ac:dyDescent="0.3">
      <c r="A173" s="3">
        <v>45463</v>
      </c>
      <c r="B173" t="s">
        <v>65</v>
      </c>
      <c r="C173">
        <v>6</v>
      </c>
      <c r="D173">
        <v>831</v>
      </c>
      <c r="E173">
        <v>717</v>
      </c>
      <c r="F173">
        <v>24</v>
      </c>
      <c r="G173">
        <v>35</v>
      </c>
      <c r="H173">
        <v>13</v>
      </c>
      <c r="I173">
        <v>2</v>
      </c>
      <c r="J173">
        <v>7</v>
      </c>
      <c r="K173">
        <v>14</v>
      </c>
      <c r="L173">
        <v>48</v>
      </c>
      <c r="M173">
        <v>25</v>
      </c>
      <c r="N173">
        <v>23</v>
      </c>
      <c r="O173">
        <v>25</v>
      </c>
      <c r="P173">
        <v>26</v>
      </c>
      <c r="Q173">
        <v>23</v>
      </c>
      <c r="R173">
        <v>6</v>
      </c>
      <c r="S173">
        <v>1</v>
      </c>
      <c r="T173">
        <v>11</v>
      </c>
      <c r="U173">
        <v>49</v>
      </c>
      <c r="V173">
        <v>34</v>
      </c>
      <c r="W173">
        <v>45</v>
      </c>
      <c r="X173">
        <v>44</v>
      </c>
      <c r="Y173">
        <v>9</v>
      </c>
      <c r="Z173">
        <v>36</v>
      </c>
      <c r="AA173">
        <v>25</v>
      </c>
      <c r="AB173">
        <v>31</v>
      </c>
      <c r="AC173">
        <v>37</v>
      </c>
      <c r="AD173">
        <v>34</v>
      </c>
      <c r="AE173">
        <v>37</v>
      </c>
      <c r="AF173">
        <v>1</v>
      </c>
      <c r="AG173">
        <v>6</v>
      </c>
      <c r="AH173">
        <v>8</v>
      </c>
      <c r="AI173">
        <v>24</v>
      </c>
      <c r="AJ173">
        <v>49</v>
      </c>
      <c r="AK173">
        <v>15</v>
      </c>
      <c r="AL173">
        <v>1</v>
      </c>
      <c r="AM173">
        <v>30</v>
      </c>
      <c r="AN173">
        <v>17</v>
      </c>
      <c r="AO173">
        <v>46</v>
      </c>
      <c r="AP173">
        <v>44</v>
      </c>
      <c r="AQ173">
        <v>29</v>
      </c>
      <c r="AR173">
        <v>26</v>
      </c>
      <c r="AS173">
        <v>14</v>
      </c>
      <c r="AT173">
        <v>30</v>
      </c>
      <c r="AU173">
        <v>25</v>
      </c>
      <c r="AV173">
        <v>49</v>
      </c>
      <c r="AW173">
        <v>20</v>
      </c>
      <c r="AX173">
        <v>38</v>
      </c>
      <c r="AY173">
        <v>37</v>
      </c>
      <c r="AZ173">
        <v>33</v>
      </c>
      <c r="BA173">
        <v>25</v>
      </c>
      <c r="BB173">
        <v>45</v>
      </c>
      <c r="BC173">
        <v>13</v>
      </c>
      <c r="BD173">
        <v>48</v>
      </c>
      <c r="BE173">
        <v>29</v>
      </c>
      <c r="BF173">
        <v>123167</v>
      </c>
      <c r="BG173">
        <v>5861</v>
      </c>
    </row>
    <row r="174" spans="1:59" x14ac:dyDescent="0.3">
      <c r="A174" s="3">
        <v>45464</v>
      </c>
      <c r="B174" t="s">
        <v>65</v>
      </c>
      <c r="C174">
        <v>6</v>
      </c>
      <c r="D174">
        <v>832</v>
      </c>
      <c r="E174">
        <v>717</v>
      </c>
      <c r="F174">
        <v>46</v>
      </c>
      <c r="G174">
        <v>35</v>
      </c>
      <c r="H174">
        <v>28</v>
      </c>
      <c r="I174">
        <v>24</v>
      </c>
      <c r="J174">
        <v>40</v>
      </c>
      <c r="K174">
        <v>30</v>
      </c>
      <c r="L174">
        <v>48</v>
      </c>
      <c r="M174">
        <v>22</v>
      </c>
      <c r="N174">
        <v>5</v>
      </c>
      <c r="O174">
        <v>8</v>
      </c>
      <c r="P174">
        <v>23</v>
      </c>
      <c r="Q174">
        <v>41</v>
      </c>
      <c r="R174">
        <v>4</v>
      </c>
      <c r="S174">
        <v>49</v>
      </c>
      <c r="T174">
        <v>36</v>
      </c>
      <c r="U174">
        <v>11</v>
      </c>
      <c r="V174">
        <v>24</v>
      </c>
      <c r="W174">
        <v>36</v>
      </c>
      <c r="X174">
        <v>10</v>
      </c>
      <c r="Y174">
        <v>31</v>
      </c>
      <c r="Z174">
        <v>2</v>
      </c>
      <c r="AA174">
        <v>30</v>
      </c>
      <c r="AB174">
        <v>38</v>
      </c>
      <c r="AC174">
        <v>0</v>
      </c>
      <c r="AD174">
        <v>27</v>
      </c>
      <c r="AE174">
        <v>35</v>
      </c>
      <c r="AF174">
        <v>35</v>
      </c>
      <c r="AG174">
        <v>43</v>
      </c>
      <c r="AH174">
        <v>32</v>
      </c>
      <c r="AI174">
        <v>40</v>
      </c>
      <c r="AJ174">
        <v>44</v>
      </c>
      <c r="AK174">
        <v>40</v>
      </c>
      <c r="AL174">
        <v>17</v>
      </c>
      <c r="AM174">
        <v>4</v>
      </c>
      <c r="AN174">
        <v>35</v>
      </c>
      <c r="AO174">
        <v>20</v>
      </c>
      <c r="AP174">
        <v>9</v>
      </c>
      <c r="AQ174">
        <v>12</v>
      </c>
      <c r="AR174">
        <v>13</v>
      </c>
      <c r="AS174">
        <v>45</v>
      </c>
      <c r="AT174">
        <v>36</v>
      </c>
      <c r="AU174">
        <v>43</v>
      </c>
      <c r="AV174">
        <v>45</v>
      </c>
      <c r="AW174">
        <v>3</v>
      </c>
      <c r="AX174">
        <v>33</v>
      </c>
      <c r="AY174">
        <v>26</v>
      </c>
      <c r="AZ174">
        <v>1</v>
      </c>
      <c r="BA174">
        <v>23</v>
      </c>
      <c r="BB174">
        <v>39</v>
      </c>
      <c r="BC174">
        <v>40</v>
      </c>
      <c r="BD174">
        <v>23</v>
      </c>
      <c r="BE174">
        <v>15</v>
      </c>
      <c r="BF174">
        <v>123717</v>
      </c>
      <c r="BG174">
        <v>5873</v>
      </c>
    </row>
    <row r="175" spans="1:59" x14ac:dyDescent="0.3">
      <c r="A175" s="3">
        <v>45465</v>
      </c>
      <c r="B175" t="s">
        <v>65</v>
      </c>
      <c r="C175">
        <v>6</v>
      </c>
      <c r="D175">
        <v>834</v>
      </c>
      <c r="E175">
        <v>718</v>
      </c>
      <c r="F175">
        <v>0</v>
      </c>
      <c r="G175">
        <v>31</v>
      </c>
      <c r="H175">
        <v>30</v>
      </c>
      <c r="I175">
        <v>0</v>
      </c>
      <c r="J175">
        <v>47</v>
      </c>
      <c r="K175">
        <v>31</v>
      </c>
      <c r="L175">
        <v>9</v>
      </c>
      <c r="M175">
        <v>34</v>
      </c>
      <c r="N175">
        <v>18</v>
      </c>
      <c r="O175">
        <v>42</v>
      </c>
      <c r="P175">
        <v>32</v>
      </c>
      <c r="Q175">
        <v>9</v>
      </c>
      <c r="R175">
        <v>0</v>
      </c>
      <c r="S175">
        <v>34</v>
      </c>
      <c r="T175">
        <v>12</v>
      </c>
      <c r="U175">
        <v>35</v>
      </c>
      <c r="V175">
        <v>3</v>
      </c>
      <c r="W175">
        <v>22</v>
      </c>
      <c r="X175">
        <v>34</v>
      </c>
      <c r="Y175">
        <v>33</v>
      </c>
      <c r="Z175">
        <v>36</v>
      </c>
      <c r="AA175">
        <v>3</v>
      </c>
      <c r="AB175">
        <v>37</v>
      </c>
      <c r="AC175">
        <v>32</v>
      </c>
      <c r="AD175">
        <v>36</v>
      </c>
      <c r="AE175">
        <v>1</v>
      </c>
      <c r="AF175">
        <v>27</v>
      </c>
      <c r="AG175">
        <v>46</v>
      </c>
      <c r="AH175">
        <v>37</v>
      </c>
      <c r="AI175">
        <v>4</v>
      </c>
      <c r="AJ175">
        <v>33</v>
      </c>
      <c r="AK175">
        <v>39</v>
      </c>
      <c r="AL175">
        <v>40</v>
      </c>
      <c r="AM175">
        <v>33</v>
      </c>
      <c r="AN175">
        <v>45</v>
      </c>
      <c r="AO175">
        <v>42</v>
      </c>
      <c r="AP175">
        <v>34</v>
      </c>
      <c r="AQ175">
        <v>8</v>
      </c>
      <c r="AR175">
        <v>46</v>
      </c>
      <c r="AS175">
        <v>26</v>
      </c>
      <c r="AT175">
        <v>27</v>
      </c>
      <c r="AU175">
        <v>35</v>
      </c>
      <c r="AV175">
        <v>22</v>
      </c>
      <c r="AW175">
        <v>21</v>
      </c>
      <c r="AX175">
        <v>32</v>
      </c>
      <c r="AY175">
        <v>6</v>
      </c>
      <c r="AZ175">
        <v>2</v>
      </c>
      <c r="BA175">
        <v>9</v>
      </c>
      <c r="BB175">
        <v>42</v>
      </c>
      <c r="BC175">
        <v>24</v>
      </c>
      <c r="BD175">
        <v>47</v>
      </c>
      <c r="BE175">
        <v>17</v>
      </c>
      <c r="BF175">
        <v>124268</v>
      </c>
      <c r="BG175">
        <v>5885</v>
      </c>
    </row>
    <row r="176" spans="1:59" x14ac:dyDescent="0.3">
      <c r="A176" s="3">
        <v>45466</v>
      </c>
      <c r="B176" t="s">
        <v>65</v>
      </c>
      <c r="C176">
        <v>6</v>
      </c>
      <c r="D176">
        <v>836</v>
      </c>
      <c r="E176">
        <v>719</v>
      </c>
      <c r="F176">
        <v>20</v>
      </c>
      <c r="G176">
        <v>9</v>
      </c>
      <c r="H176">
        <v>8</v>
      </c>
      <c r="I176">
        <v>42</v>
      </c>
      <c r="J176">
        <v>15</v>
      </c>
      <c r="K176">
        <v>47</v>
      </c>
      <c r="L176">
        <v>7</v>
      </c>
      <c r="M176">
        <v>3</v>
      </c>
      <c r="N176">
        <v>2</v>
      </c>
      <c r="O176">
        <v>18</v>
      </c>
      <c r="P176">
        <v>9</v>
      </c>
      <c r="Q176">
        <v>46</v>
      </c>
      <c r="R176">
        <v>27</v>
      </c>
      <c r="S176">
        <v>31</v>
      </c>
      <c r="T176">
        <v>0</v>
      </c>
      <c r="U176">
        <v>31</v>
      </c>
      <c r="V176">
        <v>14</v>
      </c>
      <c r="W176">
        <v>1</v>
      </c>
      <c r="X176">
        <v>37</v>
      </c>
      <c r="Y176">
        <v>5</v>
      </c>
      <c r="Z176">
        <v>27</v>
      </c>
      <c r="AA176">
        <v>5</v>
      </c>
      <c r="AB176">
        <v>39</v>
      </c>
      <c r="AC176">
        <v>32</v>
      </c>
      <c r="AD176">
        <v>8</v>
      </c>
      <c r="AE176">
        <v>15</v>
      </c>
      <c r="AF176">
        <v>11</v>
      </c>
      <c r="AG176">
        <v>46</v>
      </c>
      <c r="AH176">
        <v>1</v>
      </c>
      <c r="AI176">
        <v>7</v>
      </c>
      <c r="AJ176">
        <v>40</v>
      </c>
      <c r="AK176">
        <v>39</v>
      </c>
      <c r="AL176">
        <v>10</v>
      </c>
      <c r="AM176">
        <v>44</v>
      </c>
      <c r="AN176">
        <v>48</v>
      </c>
      <c r="AO176">
        <v>13</v>
      </c>
      <c r="AP176">
        <v>37</v>
      </c>
      <c r="AQ176">
        <v>46</v>
      </c>
      <c r="AR176">
        <v>31</v>
      </c>
      <c r="AS176">
        <v>37</v>
      </c>
      <c r="AT176">
        <v>30</v>
      </c>
      <c r="AU176">
        <v>35</v>
      </c>
      <c r="AV176">
        <v>40</v>
      </c>
      <c r="AW176">
        <v>25</v>
      </c>
      <c r="AX176">
        <v>37</v>
      </c>
      <c r="AY176">
        <v>27</v>
      </c>
      <c r="AZ176">
        <v>47</v>
      </c>
      <c r="BA176">
        <v>40</v>
      </c>
      <c r="BB176">
        <v>43</v>
      </c>
      <c r="BC176">
        <v>13</v>
      </c>
      <c r="BD176">
        <v>16</v>
      </c>
      <c r="BE176">
        <v>12</v>
      </c>
      <c r="BF176">
        <v>124819</v>
      </c>
      <c r="BG176">
        <v>5897</v>
      </c>
    </row>
    <row r="177" spans="1:59" x14ac:dyDescent="0.3">
      <c r="A177" s="3">
        <v>45467</v>
      </c>
      <c r="B177" t="s">
        <v>65</v>
      </c>
      <c r="C177">
        <v>6</v>
      </c>
      <c r="D177">
        <v>837</v>
      </c>
      <c r="E177">
        <v>719</v>
      </c>
      <c r="F177">
        <v>25</v>
      </c>
      <c r="G177">
        <v>10</v>
      </c>
      <c r="H177">
        <v>24</v>
      </c>
      <c r="I177">
        <v>14</v>
      </c>
      <c r="J177">
        <v>33</v>
      </c>
      <c r="K177">
        <v>41</v>
      </c>
      <c r="L177">
        <v>48</v>
      </c>
      <c r="M177">
        <v>44</v>
      </c>
      <c r="N177">
        <v>49</v>
      </c>
      <c r="O177">
        <v>44</v>
      </c>
      <c r="P177">
        <v>1</v>
      </c>
      <c r="Q177">
        <v>36</v>
      </c>
      <c r="R177">
        <v>5</v>
      </c>
      <c r="S177">
        <v>22</v>
      </c>
      <c r="T177">
        <v>29</v>
      </c>
      <c r="U177">
        <v>3</v>
      </c>
      <c r="V177">
        <v>19</v>
      </c>
      <c r="W177">
        <v>24</v>
      </c>
      <c r="X177">
        <v>40</v>
      </c>
      <c r="Y177">
        <v>36</v>
      </c>
      <c r="Z177">
        <v>22</v>
      </c>
      <c r="AA177">
        <v>40</v>
      </c>
      <c r="AB177">
        <v>10</v>
      </c>
      <c r="AC177">
        <v>36</v>
      </c>
      <c r="AD177">
        <v>12</v>
      </c>
      <c r="AE177">
        <v>31</v>
      </c>
      <c r="AF177">
        <v>15</v>
      </c>
      <c r="AG177">
        <v>37</v>
      </c>
      <c r="AH177">
        <v>25</v>
      </c>
      <c r="AI177">
        <v>49</v>
      </c>
      <c r="AJ177">
        <v>40</v>
      </c>
      <c r="AK177">
        <v>12</v>
      </c>
      <c r="AL177">
        <v>8</v>
      </c>
      <c r="AM177">
        <v>18</v>
      </c>
      <c r="AN177">
        <v>7</v>
      </c>
      <c r="AO177">
        <v>22</v>
      </c>
      <c r="AP177">
        <v>26</v>
      </c>
      <c r="AQ177">
        <v>12</v>
      </c>
      <c r="AR177">
        <v>43</v>
      </c>
      <c r="AS177">
        <v>39</v>
      </c>
      <c r="AT177">
        <v>32</v>
      </c>
      <c r="AU177">
        <v>49</v>
      </c>
      <c r="AV177">
        <v>49</v>
      </c>
      <c r="AW177">
        <v>8</v>
      </c>
      <c r="AX177">
        <v>30</v>
      </c>
      <c r="AY177">
        <v>2</v>
      </c>
      <c r="AZ177">
        <v>16</v>
      </c>
      <c r="BA177">
        <v>37</v>
      </c>
      <c r="BB177">
        <v>43</v>
      </c>
      <c r="BC177">
        <v>16</v>
      </c>
      <c r="BD177">
        <v>46</v>
      </c>
      <c r="BE177">
        <v>38</v>
      </c>
      <c r="BF177">
        <v>125369</v>
      </c>
      <c r="BG177">
        <v>5909</v>
      </c>
    </row>
    <row r="178" spans="1:59" x14ac:dyDescent="0.3">
      <c r="A178" s="3">
        <v>45468</v>
      </c>
      <c r="B178" t="s">
        <v>65</v>
      </c>
      <c r="C178">
        <v>6</v>
      </c>
      <c r="D178">
        <v>839</v>
      </c>
      <c r="E178">
        <v>720</v>
      </c>
      <c r="F178">
        <v>8</v>
      </c>
      <c r="G178">
        <v>7</v>
      </c>
      <c r="H178">
        <v>13</v>
      </c>
      <c r="I178">
        <v>26</v>
      </c>
      <c r="J178">
        <v>28</v>
      </c>
      <c r="K178">
        <v>36</v>
      </c>
      <c r="L178">
        <v>19</v>
      </c>
      <c r="M178">
        <v>17</v>
      </c>
      <c r="N178">
        <v>19</v>
      </c>
      <c r="O178">
        <v>0</v>
      </c>
      <c r="P178">
        <v>25</v>
      </c>
      <c r="Q178">
        <v>40</v>
      </c>
      <c r="R178">
        <v>25</v>
      </c>
      <c r="S178">
        <v>3</v>
      </c>
      <c r="T178">
        <v>36</v>
      </c>
      <c r="U178">
        <v>32</v>
      </c>
      <c r="V178">
        <v>34</v>
      </c>
      <c r="W178">
        <v>41</v>
      </c>
      <c r="X178">
        <v>32</v>
      </c>
      <c r="Y178">
        <v>17</v>
      </c>
      <c r="Z178">
        <v>0</v>
      </c>
      <c r="AA178">
        <v>12</v>
      </c>
      <c r="AB178">
        <v>46</v>
      </c>
      <c r="AC178">
        <v>42</v>
      </c>
      <c r="AD178">
        <v>30</v>
      </c>
      <c r="AE178">
        <v>39</v>
      </c>
      <c r="AF178">
        <v>49</v>
      </c>
      <c r="AG178">
        <v>23</v>
      </c>
      <c r="AH178">
        <v>7</v>
      </c>
      <c r="AI178">
        <v>39</v>
      </c>
      <c r="AJ178">
        <v>12</v>
      </c>
      <c r="AK178">
        <v>18</v>
      </c>
      <c r="AL178">
        <v>29</v>
      </c>
      <c r="AM178">
        <v>17</v>
      </c>
      <c r="AN178">
        <v>14</v>
      </c>
      <c r="AO178">
        <v>9</v>
      </c>
      <c r="AP178">
        <v>27</v>
      </c>
      <c r="AQ178">
        <v>36</v>
      </c>
      <c r="AR178">
        <v>2</v>
      </c>
      <c r="AS178">
        <v>46</v>
      </c>
      <c r="AT178">
        <v>27</v>
      </c>
      <c r="AU178">
        <v>26</v>
      </c>
      <c r="AV178">
        <v>37</v>
      </c>
      <c r="AW178">
        <v>47</v>
      </c>
      <c r="AX178">
        <v>38</v>
      </c>
      <c r="AY178">
        <v>19</v>
      </c>
      <c r="AZ178">
        <v>16</v>
      </c>
      <c r="BA178">
        <v>33</v>
      </c>
      <c r="BB178">
        <v>15</v>
      </c>
      <c r="BC178">
        <v>5</v>
      </c>
      <c r="BD178">
        <v>5</v>
      </c>
      <c r="BE178">
        <v>35</v>
      </c>
      <c r="BF178">
        <v>125920</v>
      </c>
      <c r="BG178">
        <v>5921</v>
      </c>
    </row>
    <row r="179" spans="1:59" x14ac:dyDescent="0.3">
      <c r="A179" s="3">
        <v>45469</v>
      </c>
      <c r="B179" t="s">
        <v>65</v>
      </c>
      <c r="C179">
        <v>6</v>
      </c>
      <c r="D179">
        <v>840</v>
      </c>
      <c r="E179">
        <v>721</v>
      </c>
      <c r="F179">
        <v>10</v>
      </c>
      <c r="G179">
        <v>36</v>
      </c>
      <c r="H179">
        <v>28</v>
      </c>
      <c r="I179">
        <v>7</v>
      </c>
      <c r="J179">
        <v>7</v>
      </c>
      <c r="K179">
        <v>16</v>
      </c>
      <c r="L179">
        <v>25</v>
      </c>
      <c r="M179">
        <v>14</v>
      </c>
      <c r="N179">
        <v>18</v>
      </c>
      <c r="O179">
        <v>10</v>
      </c>
      <c r="P179">
        <v>48</v>
      </c>
      <c r="Q179">
        <v>28</v>
      </c>
      <c r="R179">
        <v>12</v>
      </c>
      <c r="S179">
        <v>47</v>
      </c>
      <c r="T179">
        <v>25</v>
      </c>
      <c r="U179">
        <v>41</v>
      </c>
      <c r="V179">
        <v>1</v>
      </c>
      <c r="W179">
        <v>12</v>
      </c>
      <c r="X179">
        <v>6</v>
      </c>
      <c r="Y179">
        <v>16</v>
      </c>
      <c r="Z179">
        <v>44</v>
      </c>
      <c r="AA179">
        <v>26</v>
      </c>
      <c r="AB179">
        <v>34</v>
      </c>
      <c r="AC179">
        <v>31</v>
      </c>
      <c r="AD179">
        <v>11</v>
      </c>
      <c r="AE179">
        <v>25</v>
      </c>
      <c r="AF179">
        <v>24</v>
      </c>
      <c r="AG179">
        <v>11</v>
      </c>
      <c r="AH179">
        <v>36</v>
      </c>
      <c r="AI179">
        <v>34</v>
      </c>
      <c r="AJ179">
        <v>38</v>
      </c>
      <c r="AK179">
        <v>29</v>
      </c>
      <c r="AL179">
        <v>29</v>
      </c>
      <c r="AM179">
        <v>44</v>
      </c>
      <c r="AN179">
        <v>2</v>
      </c>
      <c r="AO179">
        <v>2</v>
      </c>
      <c r="AP179">
        <v>24</v>
      </c>
      <c r="AQ179">
        <v>24</v>
      </c>
      <c r="AR179">
        <v>20</v>
      </c>
      <c r="AS179">
        <v>31</v>
      </c>
      <c r="AT179">
        <v>19</v>
      </c>
      <c r="AU179">
        <v>49</v>
      </c>
      <c r="AV179">
        <v>1</v>
      </c>
      <c r="AW179">
        <v>29</v>
      </c>
      <c r="AX179">
        <v>10</v>
      </c>
      <c r="AY179">
        <v>49</v>
      </c>
      <c r="AZ179">
        <v>19</v>
      </c>
      <c r="BA179">
        <v>14</v>
      </c>
      <c r="BB179">
        <v>35</v>
      </c>
      <c r="BC179">
        <v>46</v>
      </c>
      <c r="BD179">
        <v>0</v>
      </c>
      <c r="BE179">
        <v>47</v>
      </c>
      <c r="BF179">
        <v>126471</v>
      </c>
      <c r="BG179">
        <v>5933</v>
      </c>
    </row>
    <row r="180" spans="1:59" x14ac:dyDescent="0.3">
      <c r="A180" s="3">
        <v>45470</v>
      </c>
      <c r="B180" t="s">
        <v>65</v>
      </c>
      <c r="C180">
        <v>6</v>
      </c>
      <c r="D180">
        <v>842</v>
      </c>
      <c r="E180">
        <v>721</v>
      </c>
      <c r="F180">
        <v>5</v>
      </c>
      <c r="G180">
        <v>10</v>
      </c>
      <c r="H180">
        <v>41</v>
      </c>
      <c r="I180">
        <v>26</v>
      </c>
      <c r="J180">
        <v>11</v>
      </c>
      <c r="K180">
        <v>42</v>
      </c>
      <c r="L180">
        <v>37</v>
      </c>
      <c r="M180">
        <v>6</v>
      </c>
      <c r="N180">
        <v>1</v>
      </c>
      <c r="O180">
        <v>37</v>
      </c>
      <c r="P180">
        <v>36</v>
      </c>
      <c r="Q180">
        <v>25</v>
      </c>
      <c r="R180">
        <v>41</v>
      </c>
      <c r="S180">
        <v>10</v>
      </c>
      <c r="T180">
        <v>28</v>
      </c>
      <c r="U180">
        <v>39</v>
      </c>
      <c r="V180">
        <v>14</v>
      </c>
      <c r="W180">
        <v>11</v>
      </c>
      <c r="X180">
        <v>43</v>
      </c>
      <c r="Y180">
        <v>48</v>
      </c>
      <c r="Z180">
        <v>48</v>
      </c>
      <c r="AA180">
        <v>19</v>
      </c>
      <c r="AB180">
        <v>7</v>
      </c>
      <c r="AC180">
        <v>3</v>
      </c>
      <c r="AD180">
        <v>1</v>
      </c>
      <c r="AE180">
        <v>19</v>
      </c>
      <c r="AF180">
        <v>40</v>
      </c>
      <c r="AG180">
        <v>45</v>
      </c>
      <c r="AH180">
        <v>2</v>
      </c>
      <c r="AI180">
        <v>45</v>
      </c>
      <c r="AJ180">
        <v>21</v>
      </c>
      <c r="AK180">
        <v>36</v>
      </c>
      <c r="AL180">
        <v>4</v>
      </c>
      <c r="AM180">
        <v>28</v>
      </c>
      <c r="AN180">
        <v>39</v>
      </c>
      <c r="AO180">
        <v>26</v>
      </c>
      <c r="AP180">
        <v>49</v>
      </c>
      <c r="AQ180">
        <v>6</v>
      </c>
      <c r="AR180">
        <v>18</v>
      </c>
      <c r="AS180">
        <v>5</v>
      </c>
      <c r="AT180">
        <v>48</v>
      </c>
      <c r="AU180">
        <v>29</v>
      </c>
      <c r="AV180">
        <v>20</v>
      </c>
      <c r="AW180">
        <v>27</v>
      </c>
      <c r="AX180">
        <v>25</v>
      </c>
      <c r="AY180">
        <v>49</v>
      </c>
      <c r="AZ180">
        <v>3</v>
      </c>
      <c r="BA180">
        <v>49</v>
      </c>
      <c r="BB180">
        <v>30</v>
      </c>
      <c r="BC180">
        <v>9</v>
      </c>
      <c r="BD180">
        <v>38</v>
      </c>
      <c r="BE180">
        <v>29</v>
      </c>
      <c r="BF180">
        <v>127021</v>
      </c>
      <c r="BG180">
        <v>5945</v>
      </c>
    </row>
    <row r="181" spans="1:59" x14ac:dyDescent="0.3">
      <c r="A181" s="3">
        <v>45471</v>
      </c>
      <c r="B181" t="s">
        <v>65</v>
      </c>
      <c r="C181">
        <v>6</v>
      </c>
      <c r="D181">
        <v>844</v>
      </c>
      <c r="E181">
        <v>722</v>
      </c>
      <c r="F181">
        <v>29</v>
      </c>
      <c r="G181">
        <v>31</v>
      </c>
      <c r="H181">
        <v>38</v>
      </c>
      <c r="I181">
        <v>6</v>
      </c>
      <c r="J181">
        <v>9</v>
      </c>
      <c r="K181">
        <v>31</v>
      </c>
      <c r="L181">
        <v>49</v>
      </c>
      <c r="M181">
        <v>48</v>
      </c>
      <c r="N181">
        <v>2</v>
      </c>
      <c r="O181">
        <v>11</v>
      </c>
      <c r="P181">
        <v>23</v>
      </c>
      <c r="Q181">
        <v>24</v>
      </c>
      <c r="R181">
        <v>18</v>
      </c>
      <c r="S181">
        <v>23</v>
      </c>
      <c r="T181">
        <v>42</v>
      </c>
      <c r="U181">
        <v>8</v>
      </c>
      <c r="V181">
        <v>44</v>
      </c>
      <c r="W181">
        <v>14</v>
      </c>
      <c r="X181">
        <v>31</v>
      </c>
      <c r="Y181">
        <v>32</v>
      </c>
      <c r="Z181">
        <v>1</v>
      </c>
      <c r="AA181">
        <v>29</v>
      </c>
      <c r="AB181">
        <v>27</v>
      </c>
      <c r="AC181">
        <v>37</v>
      </c>
      <c r="AD181">
        <v>30</v>
      </c>
      <c r="AE181">
        <v>10</v>
      </c>
      <c r="AF181">
        <v>17</v>
      </c>
      <c r="AG181">
        <v>27</v>
      </c>
      <c r="AH181">
        <v>37</v>
      </c>
      <c r="AI181">
        <v>25</v>
      </c>
      <c r="AJ181">
        <v>7</v>
      </c>
      <c r="AK181">
        <v>17</v>
      </c>
      <c r="AL181">
        <v>2</v>
      </c>
      <c r="AM181">
        <v>33</v>
      </c>
      <c r="AN181">
        <v>26</v>
      </c>
      <c r="AO181">
        <v>23</v>
      </c>
      <c r="AP181">
        <v>38</v>
      </c>
      <c r="AQ181">
        <v>44</v>
      </c>
      <c r="AR181">
        <v>32</v>
      </c>
      <c r="AS181">
        <v>17</v>
      </c>
      <c r="AT181">
        <v>7</v>
      </c>
      <c r="AU181">
        <v>31</v>
      </c>
      <c r="AV181">
        <v>37</v>
      </c>
      <c r="AW181">
        <v>22</v>
      </c>
      <c r="AX181">
        <v>5</v>
      </c>
      <c r="AY181">
        <v>3</v>
      </c>
      <c r="AZ181">
        <v>40</v>
      </c>
      <c r="BA181">
        <v>32</v>
      </c>
      <c r="BB181">
        <v>10</v>
      </c>
      <c r="BC181">
        <v>45</v>
      </c>
      <c r="BD181">
        <v>35</v>
      </c>
      <c r="BE181">
        <v>22</v>
      </c>
      <c r="BF181">
        <v>127572</v>
      </c>
      <c r="BG181">
        <v>5957</v>
      </c>
    </row>
    <row r="182" spans="1:59" x14ac:dyDescent="0.3">
      <c r="A182" s="3">
        <v>45472</v>
      </c>
      <c r="B182" t="s">
        <v>65</v>
      </c>
      <c r="C182">
        <v>6</v>
      </c>
      <c r="D182">
        <v>845</v>
      </c>
      <c r="E182">
        <v>723</v>
      </c>
      <c r="F182">
        <v>2</v>
      </c>
      <c r="G182">
        <v>21</v>
      </c>
      <c r="H182">
        <v>2</v>
      </c>
      <c r="I182">
        <v>22</v>
      </c>
      <c r="J182">
        <v>24</v>
      </c>
      <c r="K182">
        <v>10</v>
      </c>
      <c r="L182">
        <v>12</v>
      </c>
      <c r="M182">
        <v>46</v>
      </c>
      <c r="N182">
        <v>23</v>
      </c>
      <c r="O182">
        <v>38</v>
      </c>
      <c r="P182">
        <v>19</v>
      </c>
      <c r="Q182">
        <v>9</v>
      </c>
      <c r="R182">
        <v>27</v>
      </c>
      <c r="S182">
        <v>23</v>
      </c>
      <c r="T182">
        <v>18</v>
      </c>
      <c r="U182">
        <v>38</v>
      </c>
      <c r="V182">
        <v>36</v>
      </c>
      <c r="W182">
        <v>36</v>
      </c>
      <c r="X182">
        <v>14</v>
      </c>
      <c r="Y182">
        <v>10</v>
      </c>
      <c r="Z182">
        <v>5</v>
      </c>
      <c r="AA182">
        <v>30</v>
      </c>
      <c r="AB182">
        <v>27</v>
      </c>
      <c r="AC182">
        <v>39</v>
      </c>
      <c r="AD182">
        <v>6</v>
      </c>
      <c r="AE182">
        <v>24</v>
      </c>
      <c r="AF182">
        <v>23</v>
      </c>
      <c r="AG182">
        <v>37</v>
      </c>
      <c r="AH182">
        <v>40</v>
      </c>
      <c r="AI182">
        <v>10</v>
      </c>
      <c r="AJ182">
        <v>8</v>
      </c>
      <c r="AK182">
        <v>27</v>
      </c>
      <c r="AL182">
        <v>8</v>
      </c>
      <c r="AM182">
        <v>7</v>
      </c>
      <c r="AN182">
        <v>7</v>
      </c>
      <c r="AO182">
        <v>25</v>
      </c>
      <c r="AP182">
        <v>35</v>
      </c>
      <c r="AQ182">
        <v>26</v>
      </c>
      <c r="AR182">
        <v>29</v>
      </c>
      <c r="AS182">
        <v>27</v>
      </c>
      <c r="AT182">
        <v>20</v>
      </c>
      <c r="AU182">
        <v>6</v>
      </c>
      <c r="AV182">
        <v>40</v>
      </c>
      <c r="AW182">
        <v>26</v>
      </c>
      <c r="AX182">
        <v>23</v>
      </c>
      <c r="AY182">
        <v>10</v>
      </c>
      <c r="AZ182">
        <v>20</v>
      </c>
      <c r="BA182">
        <v>23</v>
      </c>
      <c r="BB182">
        <v>16</v>
      </c>
      <c r="BC182">
        <v>30</v>
      </c>
      <c r="BD182">
        <v>41</v>
      </c>
      <c r="BE182">
        <v>47</v>
      </c>
      <c r="BF182">
        <v>128123</v>
      </c>
      <c r="BG182">
        <v>5969</v>
      </c>
    </row>
    <row r="183" spans="1:59" x14ac:dyDescent="0.3">
      <c r="A183" s="3">
        <v>45473</v>
      </c>
      <c r="B183" t="s">
        <v>65</v>
      </c>
      <c r="C183">
        <v>6</v>
      </c>
      <c r="D183">
        <v>847</v>
      </c>
      <c r="E183">
        <v>723</v>
      </c>
      <c r="F183">
        <v>1</v>
      </c>
      <c r="G183">
        <v>8</v>
      </c>
      <c r="H183">
        <v>3</v>
      </c>
      <c r="I183">
        <v>12</v>
      </c>
      <c r="J183">
        <v>14</v>
      </c>
      <c r="K183">
        <v>38</v>
      </c>
      <c r="L183">
        <v>32</v>
      </c>
      <c r="M183">
        <v>1</v>
      </c>
      <c r="N183">
        <v>24</v>
      </c>
      <c r="O183">
        <v>13</v>
      </c>
      <c r="P183">
        <v>39</v>
      </c>
      <c r="Q183">
        <v>27</v>
      </c>
      <c r="R183">
        <v>38</v>
      </c>
      <c r="S183">
        <v>5</v>
      </c>
      <c r="T183">
        <v>30</v>
      </c>
      <c r="U183">
        <v>28</v>
      </c>
      <c r="V183">
        <v>6</v>
      </c>
      <c r="W183">
        <v>13</v>
      </c>
      <c r="X183">
        <v>38</v>
      </c>
      <c r="Y183">
        <v>16</v>
      </c>
      <c r="Z183">
        <v>18</v>
      </c>
      <c r="AA183">
        <v>37</v>
      </c>
      <c r="AB183">
        <v>5</v>
      </c>
      <c r="AC183">
        <v>6</v>
      </c>
      <c r="AD183">
        <v>13</v>
      </c>
      <c r="AE183">
        <v>19</v>
      </c>
      <c r="AF183">
        <v>3</v>
      </c>
      <c r="AG183">
        <v>18</v>
      </c>
      <c r="AH183">
        <v>32</v>
      </c>
      <c r="AI183">
        <v>31</v>
      </c>
      <c r="AJ183">
        <v>36</v>
      </c>
      <c r="AK183">
        <v>43</v>
      </c>
      <c r="AL183">
        <v>44</v>
      </c>
      <c r="AM183">
        <v>10</v>
      </c>
      <c r="AN183">
        <v>20</v>
      </c>
      <c r="AO183">
        <v>37</v>
      </c>
      <c r="AP183">
        <v>34</v>
      </c>
      <c r="AQ183">
        <v>20</v>
      </c>
      <c r="AR183">
        <v>34</v>
      </c>
      <c r="AS183">
        <v>1</v>
      </c>
      <c r="AT183">
        <v>30</v>
      </c>
      <c r="AU183">
        <v>3</v>
      </c>
      <c r="AV183">
        <v>30</v>
      </c>
      <c r="AW183">
        <v>22</v>
      </c>
      <c r="AX183">
        <v>45</v>
      </c>
      <c r="AY183">
        <v>29</v>
      </c>
      <c r="AZ183">
        <v>5</v>
      </c>
      <c r="BA183">
        <v>9</v>
      </c>
      <c r="BB183">
        <v>40</v>
      </c>
      <c r="BC183">
        <v>24</v>
      </c>
      <c r="BD183">
        <v>33</v>
      </c>
      <c r="BE183">
        <v>16</v>
      </c>
      <c r="BF183">
        <v>128673</v>
      </c>
      <c r="BG183">
        <v>5981</v>
      </c>
    </row>
    <row r="184" spans="1:59" x14ac:dyDescent="0.3">
      <c r="A184" s="3">
        <v>45474</v>
      </c>
      <c r="B184" t="s">
        <v>66</v>
      </c>
      <c r="C184">
        <v>7</v>
      </c>
      <c r="D184">
        <v>849</v>
      </c>
      <c r="E184">
        <v>724</v>
      </c>
      <c r="F184">
        <v>44</v>
      </c>
      <c r="G184">
        <v>31</v>
      </c>
      <c r="H184">
        <v>44</v>
      </c>
      <c r="I184">
        <v>47</v>
      </c>
      <c r="J184">
        <v>42</v>
      </c>
      <c r="K184">
        <v>7</v>
      </c>
      <c r="L184">
        <v>10</v>
      </c>
      <c r="M184">
        <v>23</v>
      </c>
      <c r="N184">
        <v>14</v>
      </c>
      <c r="O184">
        <v>43</v>
      </c>
      <c r="P184">
        <v>32</v>
      </c>
      <c r="Q184">
        <v>30</v>
      </c>
      <c r="R184">
        <v>0</v>
      </c>
      <c r="S184">
        <v>39</v>
      </c>
      <c r="T184">
        <v>23</v>
      </c>
      <c r="U184">
        <v>2</v>
      </c>
      <c r="V184">
        <v>49</v>
      </c>
      <c r="W184">
        <v>39</v>
      </c>
      <c r="X184">
        <v>27</v>
      </c>
      <c r="Y184">
        <v>8</v>
      </c>
      <c r="Z184">
        <v>7</v>
      </c>
      <c r="AA184">
        <v>7</v>
      </c>
      <c r="AB184">
        <v>30</v>
      </c>
      <c r="AC184">
        <v>34</v>
      </c>
      <c r="AD184">
        <v>8</v>
      </c>
      <c r="AE184">
        <v>12</v>
      </c>
      <c r="AF184">
        <v>41</v>
      </c>
      <c r="AG184">
        <v>20</v>
      </c>
      <c r="AH184">
        <v>15</v>
      </c>
      <c r="AI184">
        <v>18</v>
      </c>
      <c r="AJ184">
        <v>5</v>
      </c>
      <c r="AK184">
        <v>8</v>
      </c>
      <c r="AL184">
        <v>22</v>
      </c>
      <c r="AM184">
        <v>39</v>
      </c>
      <c r="AN184">
        <v>29</v>
      </c>
      <c r="AO184">
        <v>4</v>
      </c>
      <c r="AP184">
        <v>47</v>
      </c>
      <c r="AQ184">
        <v>21</v>
      </c>
      <c r="AR184">
        <v>29</v>
      </c>
      <c r="AS184">
        <v>12</v>
      </c>
      <c r="AT184">
        <v>5</v>
      </c>
      <c r="AU184">
        <v>24</v>
      </c>
      <c r="AV184">
        <v>5</v>
      </c>
      <c r="AW184">
        <v>9</v>
      </c>
      <c r="AX184">
        <v>7</v>
      </c>
      <c r="AY184">
        <v>15</v>
      </c>
      <c r="AZ184">
        <v>28</v>
      </c>
      <c r="BA184">
        <v>36</v>
      </c>
      <c r="BB184">
        <v>29</v>
      </c>
      <c r="BC184">
        <v>16</v>
      </c>
      <c r="BD184">
        <v>3</v>
      </c>
      <c r="BE184">
        <v>2</v>
      </c>
      <c r="BF184">
        <v>129224</v>
      </c>
      <c r="BG184">
        <v>5993</v>
      </c>
    </row>
    <row r="185" spans="1:59" x14ac:dyDescent="0.3">
      <c r="A185" s="3">
        <v>45475</v>
      </c>
      <c r="B185" t="s">
        <v>66</v>
      </c>
      <c r="C185">
        <v>7</v>
      </c>
      <c r="D185">
        <v>850</v>
      </c>
      <c r="E185">
        <v>725</v>
      </c>
      <c r="F185">
        <v>11</v>
      </c>
      <c r="G185">
        <v>44</v>
      </c>
      <c r="H185">
        <v>22</v>
      </c>
      <c r="I185">
        <v>27</v>
      </c>
      <c r="J185">
        <v>5</v>
      </c>
      <c r="K185">
        <v>36</v>
      </c>
      <c r="L185">
        <v>42</v>
      </c>
      <c r="M185">
        <v>43</v>
      </c>
      <c r="N185">
        <v>31</v>
      </c>
      <c r="O185">
        <v>24</v>
      </c>
      <c r="P185">
        <v>36</v>
      </c>
      <c r="Q185">
        <v>2</v>
      </c>
      <c r="R185">
        <v>16</v>
      </c>
      <c r="S185">
        <v>49</v>
      </c>
      <c r="T185">
        <v>38</v>
      </c>
      <c r="U185">
        <v>21</v>
      </c>
      <c r="V185">
        <v>29</v>
      </c>
      <c r="W185">
        <v>29</v>
      </c>
      <c r="X185">
        <v>33</v>
      </c>
      <c r="Y185">
        <v>49</v>
      </c>
      <c r="Z185">
        <v>31</v>
      </c>
      <c r="AA185">
        <v>39</v>
      </c>
      <c r="AB185">
        <v>31</v>
      </c>
      <c r="AC185">
        <v>3</v>
      </c>
      <c r="AD185">
        <v>3</v>
      </c>
      <c r="AE185">
        <v>18</v>
      </c>
      <c r="AF185">
        <v>16</v>
      </c>
      <c r="AG185">
        <v>35</v>
      </c>
      <c r="AH185">
        <v>40</v>
      </c>
      <c r="AI185">
        <v>15</v>
      </c>
      <c r="AJ185">
        <v>32</v>
      </c>
      <c r="AK185">
        <v>22</v>
      </c>
      <c r="AL185">
        <v>31</v>
      </c>
      <c r="AM185">
        <v>0</v>
      </c>
      <c r="AN185">
        <v>49</v>
      </c>
      <c r="AO185">
        <v>12</v>
      </c>
      <c r="AP185">
        <v>34</v>
      </c>
      <c r="AQ185">
        <v>4</v>
      </c>
      <c r="AR185">
        <v>36</v>
      </c>
      <c r="AS185">
        <v>29</v>
      </c>
      <c r="AT185">
        <v>3</v>
      </c>
      <c r="AU185">
        <v>21</v>
      </c>
      <c r="AV185">
        <v>28</v>
      </c>
      <c r="AW185">
        <v>39</v>
      </c>
      <c r="AX185">
        <v>18</v>
      </c>
      <c r="AY185">
        <v>47</v>
      </c>
      <c r="AZ185">
        <v>11</v>
      </c>
      <c r="BA185">
        <v>34</v>
      </c>
      <c r="BB185">
        <v>36</v>
      </c>
      <c r="BC185">
        <v>45</v>
      </c>
      <c r="BD185">
        <v>33</v>
      </c>
      <c r="BE185">
        <v>44</v>
      </c>
      <c r="BF185">
        <v>129775</v>
      </c>
      <c r="BG185">
        <v>6006</v>
      </c>
    </row>
    <row r="186" spans="1:59" x14ac:dyDescent="0.3">
      <c r="A186" s="3">
        <v>45476</v>
      </c>
      <c r="B186" t="s">
        <v>66</v>
      </c>
      <c r="C186">
        <v>7</v>
      </c>
      <c r="D186">
        <v>852</v>
      </c>
      <c r="E186">
        <v>726</v>
      </c>
      <c r="F186">
        <v>15</v>
      </c>
      <c r="G186">
        <v>38</v>
      </c>
      <c r="H186">
        <v>44</v>
      </c>
      <c r="I186">
        <v>28</v>
      </c>
      <c r="J186">
        <v>37</v>
      </c>
      <c r="K186">
        <v>35</v>
      </c>
      <c r="L186">
        <v>23</v>
      </c>
      <c r="M186">
        <v>38</v>
      </c>
      <c r="N186">
        <v>37</v>
      </c>
      <c r="O186">
        <v>29</v>
      </c>
      <c r="P186">
        <v>40</v>
      </c>
      <c r="Q186">
        <v>0</v>
      </c>
      <c r="R186">
        <v>46</v>
      </c>
      <c r="S186">
        <v>38</v>
      </c>
      <c r="T186">
        <v>34</v>
      </c>
      <c r="U186">
        <v>1</v>
      </c>
      <c r="V186">
        <v>24</v>
      </c>
      <c r="W186">
        <v>30</v>
      </c>
      <c r="X186">
        <v>18</v>
      </c>
      <c r="Y186">
        <v>43</v>
      </c>
      <c r="Z186">
        <v>35</v>
      </c>
      <c r="AA186">
        <v>5</v>
      </c>
      <c r="AB186">
        <v>29</v>
      </c>
      <c r="AC186">
        <v>11</v>
      </c>
      <c r="AD186">
        <v>48</v>
      </c>
      <c r="AE186">
        <v>42</v>
      </c>
      <c r="AF186">
        <v>29</v>
      </c>
      <c r="AG186">
        <v>2</v>
      </c>
      <c r="AH186">
        <v>17</v>
      </c>
      <c r="AI186">
        <v>49</v>
      </c>
      <c r="AJ186">
        <v>30</v>
      </c>
      <c r="AK186">
        <v>2</v>
      </c>
      <c r="AL186">
        <v>31</v>
      </c>
      <c r="AM186">
        <v>42</v>
      </c>
      <c r="AN186">
        <v>16</v>
      </c>
      <c r="AO186">
        <v>22</v>
      </c>
      <c r="AP186">
        <v>42</v>
      </c>
      <c r="AQ186">
        <v>43</v>
      </c>
      <c r="AR186">
        <v>41</v>
      </c>
      <c r="AS186">
        <v>2</v>
      </c>
      <c r="AT186">
        <v>13</v>
      </c>
      <c r="AU186">
        <v>47</v>
      </c>
      <c r="AV186">
        <v>19</v>
      </c>
      <c r="AW186">
        <v>11</v>
      </c>
      <c r="AX186">
        <v>35</v>
      </c>
      <c r="AY186">
        <v>8</v>
      </c>
      <c r="AZ186">
        <v>38</v>
      </c>
      <c r="BA186">
        <v>2</v>
      </c>
      <c r="BB186">
        <v>44</v>
      </c>
      <c r="BC186">
        <v>3</v>
      </c>
      <c r="BD186">
        <v>14</v>
      </c>
      <c r="BE186">
        <v>37</v>
      </c>
      <c r="BF186">
        <v>130326</v>
      </c>
      <c r="BG186">
        <v>6018</v>
      </c>
    </row>
    <row r="187" spans="1:59" x14ac:dyDescent="0.3">
      <c r="A187" s="3">
        <v>45477</v>
      </c>
      <c r="B187" t="s">
        <v>66</v>
      </c>
      <c r="C187">
        <v>7</v>
      </c>
      <c r="D187">
        <v>854</v>
      </c>
      <c r="E187">
        <v>726</v>
      </c>
      <c r="F187">
        <v>23</v>
      </c>
      <c r="G187">
        <v>49</v>
      </c>
      <c r="H187">
        <v>16</v>
      </c>
      <c r="I187">
        <v>24</v>
      </c>
      <c r="J187">
        <v>29</v>
      </c>
      <c r="K187">
        <v>9</v>
      </c>
      <c r="L187">
        <v>45</v>
      </c>
      <c r="M187">
        <v>44</v>
      </c>
      <c r="N187">
        <v>42</v>
      </c>
      <c r="O187">
        <v>10</v>
      </c>
      <c r="P187">
        <v>15</v>
      </c>
      <c r="Q187">
        <v>18</v>
      </c>
      <c r="R187">
        <v>37</v>
      </c>
      <c r="S187">
        <v>10</v>
      </c>
      <c r="T187">
        <v>39</v>
      </c>
      <c r="U187">
        <v>25</v>
      </c>
      <c r="V187">
        <v>9</v>
      </c>
      <c r="W187">
        <v>13</v>
      </c>
      <c r="X187">
        <v>32</v>
      </c>
      <c r="Y187">
        <v>20</v>
      </c>
      <c r="Z187">
        <v>33</v>
      </c>
      <c r="AA187">
        <v>38</v>
      </c>
      <c r="AB187">
        <v>49</v>
      </c>
      <c r="AC187">
        <v>47</v>
      </c>
      <c r="AD187">
        <v>20</v>
      </c>
      <c r="AE187">
        <v>36</v>
      </c>
      <c r="AF187">
        <v>28</v>
      </c>
      <c r="AG187">
        <v>1</v>
      </c>
      <c r="AH187">
        <v>32</v>
      </c>
      <c r="AI187">
        <v>13</v>
      </c>
      <c r="AJ187">
        <v>25</v>
      </c>
      <c r="AK187">
        <v>22</v>
      </c>
      <c r="AL187">
        <v>49</v>
      </c>
      <c r="AM187">
        <v>19</v>
      </c>
      <c r="AN187">
        <v>46</v>
      </c>
      <c r="AO187">
        <v>31</v>
      </c>
      <c r="AP187">
        <v>38</v>
      </c>
      <c r="AQ187">
        <v>44</v>
      </c>
      <c r="AR187">
        <v>46</v>
      </c>
      <c r="AS187">
        <v>9</v>
      </c>
      <c r="AT187">
        <v>11</v>
      </c>
      <c r="AU187">
        <v>41</v>
      </c>
      <c r="AV187">
        <v>14</v>
      </c>
      <c r="AW187">
        <v>47</v>
      </c>
      <c r="AX187">
        <v>25</v>
      </c>
      <c r="AY187">
        <v>39</v>
      </c>
      <c r="AZ187">
        <v>24</v>
      </c>
      <c r="BA187">
        <v>42</v>
      </c>
      <c r="BB187">
        <v>20</v>
      </c>
      <c r="BC187">
        <v>28</v>
      </c>
      <c r="BD187">
        <v>23</v>
      </c>
      <c r="BE187">
        <v>45</v>
      </c>
      <c r="BF187">
        <v>130876</v>
      </c>
      <c r="BG187">
        <v>6030</v>
      </c>
    </row>
    <row r="188" spans="1:59" x14ac:dyDescent="0.3">
      <c r="A188" s="3">
        <v>45478</v>
      </c>
      <c r="B188" t="s">
        <v>66</v>
      </c>
      <c r="C188">
        <v>7</v>
      </c>
      <c r="D188">
        <v>855</v>
      </c>
      <c r="E188">
        <v>727</v>
      </c>
      <c r="F188">
        <v>32</v>
      </c>
      <c r="G188">
        <v>34</v>
      </c>
      <c r="H188">
        <v>24</v>
      </c>
      <c r="I188">
        <v>42</v>
      </c>
      <c r="J188">
        <v>1</v>
      </c>
      <c r="K188">
        <v>46</v>
      </c>
      <c r="L188">
        <v>2</v>
      </c>
      <c r="M188">
        <v>30</v>
      </c>
      <c r="N188">
        <v>20</v>
      </c>
      <c r="O188">
        <v>4</v>
      </c>
      <c r="P188">
        <v>15</v>
      </c>
      <c r="Q188">
        <v>30</v>
      </c>
      <c r="R188">
        <v>25</v>
      </c>
      <c r="S188">
        <v>15</v>
      </c>
      <c r="T188">
        <v>44</v>
      </c>
      <c r="U188">
        <v>39</v>
      </c>
      <c r="V188">
        <v>13</v>
      </c>
      <c r="W188">
        <v>44</v>
      </c>
      <c r="X188">
        <v>43</v>
      </c>
      <c r="Y188">
        <v>47</v>
      </c>
      <c r="Z188">
        <v>25</v>
      </c>
      <c r="AA188">
        <v>10</v>
      </c>
      <c r="AB188">
        <v>49</v>
      </c>
      <c r="AC188">
        <v>29</v>
      </c>
      <c r="AD188">
        <v>24</v>
      </c>
      <c r="AE188">
        <v>44</v>
      </c>
      <c r="AF188">
        <v>32</v>
      </c>
      <c r="AG188">
        <v>43</v>
      </c>
      <c r="AH188">
        <v>10</v>
      </c>
      <c r="AI188">
        <v>1</v>
      </c>
      <c r="AJ188">
        <v>22</v>
      </c>
      <c r="AK188">
        <v>37</v>
      </c>
      <c r="AL188">
        <v>5</v>
      </c>
      <c r="AM188">
        <v>5</v>
      </c>
      <c r="AN188">
        <v>35</v>
      </c>
      <c r="AO188">
        <v>25</v>
      </c>
      <c r="AP188">
        <v>3</v>
      </c>
      <c r="AQ188">
        <v>44</v>
      </c>
      <c r="AR188">
        <v>44</v>
      </c>
      <c r="AS188">
        <v>37</v>
      </c>
      <c r="AT188">
        <v>0</v>
      </c>
      <c r="AU188">
        <v>38</v>
      </c>
      <c r="AV188">
        <v>27</v>
      </c>
      <c r="AW188">
        <v>13</v>
      </c>
      <c r="AX188">
        <v>47</v>
      </c>
      <c r="AY188">
        <v>13</v>
      </c>
      <c r="AZ188">
        <v>43</v>
      </c>
      <c r="BA188">
        <v>5</v>
      </c>
      <c r="BB188">
        <v>1</v>
      </c>
      <c r="BC188">
        <v>18</v>
      </c>
      <c r="BD188">
        <v>28</v>
      </c>
      <c r="BE188">
        <v>17</v>
      </c>
      <c r="BF188">
        <v>131427</v>
      </c>
      <c r="BG188">
        <v>6042</v>
      </c>
    </row>
    <row r="189" spans="1:59" x14ac:dyDescent="0.3">
      <c r="A189" s="3">
        <v>45479</v>
      </c>
      <c r="B189" t="s">
        <v>66</v>
      </c>
      <c r="C189">
        <v>7</v>
      </c>
      <c r="D189">
        <v>857</v>
      </c>
      <c r="E189">
        <v>728</v>
      </c>
      <c r="F189">
        <v>46</v>
      </c>
      <c r="G189">
        <v>1</v>
      </c>
      <c r="H189">
        <v>9</v>
      </c>
      <c r="I189">
        <v>20</v>
      </c>
      <c r="J189">
        <v>49</v>
      </c>
      <c r="K189">
        <v>8</v>
      </c>
      <c r="L189">
        <v>20</v>
      </c>
      <c r="M189">
        <v>26</v>
      </c>
      <c r="N189">
        <v>6</v>
      </c>
      <c r="O189">
        <v>29</v>
      </c>
      <c r="P189">
        <v>10</v>
      </c>
      <c r="Q189">
        <v>0</v>
      </c>
      <c r="R189">
        <v>3</v>
      </c>
      <c r="S189">
        <v>36</v>
      </c>
      <c r="T189">
        <v>20</v>
      </c>
      <c r="U189">
        <v>20</v>
      </c>
      <c r="V189">
        <v>37</v>
      </c>
      <c r="W189">
        <v>35</v>
      </c>
      <c r="X189">
        <v>12</v>
      </c>
      <c r="Y189">
        <v>39</v>
      </c>
      <c r="Z189">
        <v>18</v>
      </c>
      <c r="AA189">
        <v>18</v>
      </c>
      <c r="AB189">
        <v>49</v>
      </c>
      <c r="AC189">
        <v>3</v>
      </c>
      <c r="AD189">
        <v>42</v>
      </c>
      <c r="AE189">
        <v>1</v>
      </c>
      <c r="AF189">
        <v>10</v>
      </c>
      <c r="AG189">
        <v>37</v>
      </c>
      <c r="AH189">
        <v>27</v>
      </c>
      <c r="AI189">
        <v>13</v>
      </c>
      <c r="AJ189">
        <v>26</v>
      </c>
      <c r="AK189">
        <v>22</v>
      </c>
      <c r="AL189">
        <v>12</v>
      </c>
      <c r="AM189">
        <v>0</v>
      </c>
      <c r="AN189">
        <v>37</v>
      </c>
      <c r="AO189">
        <v>10</v>
      </c>
      <c r="AP189">
        <v>0</v>
      </c>
      <c r="AQ189">
        <v>12</v>
      </c>
      <c r="AR189">
        <v>20</v>
      </c>
      <c r="AS189">
        <v>6</v>
      </c>
      <c r="AT189">
        <v>34</v>
      </c>
      <c r="AU189">
        <v>6</v>
      </c>
      <c r="AV189">
        <v>47</v>
      </c>
      <c r="AW189">
        <v>24</v>
      </c>
      <c r="AX189">
        <v>48</v>
      </c>
      <c r="AY189">
        <v>14</v>
      </c>
      <c r="AZ189">
        <v>41</v>
      </c>
      <c r="BA189">
        <v>17</v>
      </c>
      <c r="BB189">
        <v>48</v>
      </c>
      <c r="BC189">
        <v>4</v>
      </c>
      <c r="BD189">
        <v>12</v>
      </c>
      <c r="BE189">
        <v>28</v>
      </c>
      <c r="BF189">
        <v>131978</v>
      </c>
      <c r="BG189">
        <v>6054</v>
      </c>
    </row>
    <row r="190" spans="1:59" x14ac:dyDescent="0.3">
      <c r="A190" s="3">
        <v>45480</v>
      </c>
      <c r="B190" t="s">
        <v>66</v>
      </c>
      <c r="C190">
        <v>7</v>
      </c>
      <c r="D190">
        <v>859</v>
      </c>
      <c r="E190">
        <v>728</v>
      </c>
      <c r="F190">
        <v>40</v>
      </c>
      <c r="G190">
        <v>40</v>
      </c>
      <c r="H190">
        <v>26</v>
      </c>
      <c r="I190">
        <v>37</v>
      </c>
      <c r="J190">
        <v>2</v>
      </c>
      <c r="K190">
        <v>33</v>
      </c>
      <c r="L190">
        <v>8</v>
      </c>
      <c r="M190">
        <v>36</v>
      </c>
      <c r="N190">
        <v>15</v>
      </c>
      <c r="O190">
        <v>8</v>
      </c>
      <c r="P190">
        <v>23</v>
      </c>
      <c r="Q190">
        <v>19</v>
      </c>
      <c r="R190">
        <v>15</v>
      </c>
      <c r="S190">
        <v>32</v>
      </c>
      <c r="T190">
        <v>36</v>
      </c>
      <c r="U190">
        <v>28</v>
      </c>
      <c r="V190">
        <v>15</v>
      </c>
      <c r="W190">
        <v>4</v>
      </c>
      <c r="X190">
        <v>19</v>
      </c>
      <c r="Y190">
        <v>23</v>
      </c>
      <c r="Z190">
        <v>42</v>
      </c>
      <c r="AA190">
        <v>23</v>
      </c>
      <c r="AB190">
        <v>46</v>
      </c>
      <c r="AC190">
        <v>7</v>
      </c>
      <c r="AD190">
        <v>24</v>
      </c>
      <c r="AE190">
        <v>1</v>
      </c>
      <c r="AF190">
        <v>37</v>
      </c>
      <c r="AG190">
        <v>39</v>
      </c>
      <c r="AH190">
        <v>33</v>
      </c>
      <c r="AI190">
        <v>3</v>
      </c>
      <c r="AJ190">
        <v>30</v>
      </c>
      <c r="AK190">
        <v>16</v>
      </c>
      <c r="AL190">
        <v>30</v>
      </c>
      <c r="AM190">
        <v>14</v>
      </c>
      <c r="AN190">
        <v>39</v>
      </c>
      <c r="AO190">
        <v>26</v>
      </c>
      <c r="AP190">
        <v>38</v>
      </c>
      <c r="AQ190">
        <v>32</v>
      </c>
      <c r="AR190">
        <v>20</v>
      </c>
      <c r="AS190">
        <v>16</v>
      </c>
      <c r="AT190">
        <v>11</v>
      </c>
      <c r="AU190">
        <v>43</v>
      </c>
      <c r="AV190">
        <v>7</v>
      </c>
      <c r="AW190">
        <v>35</v>
      </c>
      <c r="AX190">
        <v>9</v>
      </c>
      <c r="AY190">
        <v>32</v>
      </c>
      <c r="AZ190">
        <v>28</v>
      </c>
      <c r="BA190">
        <v>13</v>
      </c>
      <c r="BB190">
        <v>11</v>
      </c>
      <c r="BC190">
        <v>22</v>
      </c>
      <c r="BD190">
        <v>38</v>
      </c>
      <c r="BE190">
        <v>5</v>
      </c>
      <c r="BF190">
        <v>132528</v>
      </c>
      <c r="BG190">
        <v>6066</v>
      </c>
    </row>
    <row r="191" spans="1:59" x14ac:dyDescent="0.3">
      <c r="A191" s="3">
        <v>45481</v>
      </c>
      <c r="B191" t="s">
        <v>66</v>
      </c>
      <c r="C191">
        <v>7</v>
      </c>
      <c r="D191">
        <v>860</v>
      </c>
      <c r="E191">
        <v>729</v>
      </c>
      <c r="F191">
        <v>14</v>
      </c>
      <c r="G191">
        <v>44</v>
      </c>
      <c r="H191">
        <v>42</v>
      </c>
      <c r="I191">
        <v>2</v>
      </c>
      <c r="J191">
        <v>20</v>
      </c>
      <c r="K191">
        <v>49</v>
      </c>
      <c r="L191">
        <v>20</v>
      </c>
      <c r="M191">
        <v>20</v>
      </c>
      <c r="N191">
        <v>8</v>
      </c>
      <c r="O191">
        <v>5</v>
      </c>
      <c r="P191">
        <v>29</v>
      </c>
      <c r="Q191">
        <v>1</v>
      </c>
      <c r="R191">
        <v>2</v>
      </c>
      <c r="S191">
        <v>17</v>
      </c>
      <c r="T191">
        <v>18</v>
      </c>
      <c r="U191">
        <v>48</v>
      </c>
      <c r="V191">
        <v>40</v>
      </c>
      <c r="W191">
        <v>20</v>
      </c>
      <c r="X191">
        <v>23</v>
      </c>
      <c r="Y191">
        <v>49</v>
      </c>
      <c r="Z191">
        <v>25</v>
      </c>
      <c r="AA191">
        <v>16</v>
      </c>
      <c r="AB191">
        <v>31</v>
      </c>
      <c r="AC191">
        <v>12</v>
      </c>
      <c r="AD191">
        <v>21</v>
      </c>
      <c r="AE191">
        <v>18</v>
      </c>
      <c r="AF191">
        <v>9</v>
      </c>
      <c r="AG191">
        <v>6</v>
      </c>
      <c r="AH191">
        <v>7</v>
      </c>
      <c r="AI191">
        <v>20</v>
      </c>
      <c r="AJ191">
        <v>40</v>
      </c>
      <c r="AK191">
        <v>15</v>
      </c>
      <c r="AL191">
        <v>21</v>
      </c>
      <c r="AM191">
        <v>36</v>
      </c>
      <c r="AN191">
        <v>39</v>
      </c>
      <c r="AO191">
        <v>13</v>
      </c>
      <c r="AP191">
        <v>1</v>
      </c>
      <c r="AQ191">
        <v>47</v>
      </c>
      <c r="AR191">
        <v>32</v>
      </c>
      <c r="AS191">
        <v>17</v>
      </c>
      <c r="AT191">
        <v>33</v>
      </c>
      <c r="AU191">
        <v>6</v>
      </c>
      <c r="AV191">
        <v>28</v>
      </c>
      <c r="AW191">
        <v>34</v>
      </c>
      <c r="AX191">
        <v>36</v>
      </c>
      <c r="AY191">
        <v>21</v>
      </c>
      <c r="AZ191">
        <v>11</v>
      </c>
      <c r="BA191">
        <v>6</v>
      </c>
      <c r="BB191">
        <v>47</v>
      </c>
      <c r="BC191">
        <v>39</v>
      </c>
      <c r="BD191">
        <v>28</v>
      </c>
      <c r="BE191">
        <v>8</v>
      </c>
      <c r="BF191">
        <v>133079</v>
      </c>
      <c r="BG191">
        <v>6078</v>
      </c>
    </row>
    <row r="192" spans="1:59" x14ac:dyDescent="0.3">
      <c r="A192" s="3">
        <v>45482</v>
      </c>
      <c r="B192" t="s">
        <v>66</v>
      </c>
      <c r="C192">
        <v>7</v>
      </c>
      <c r="D192">
        <v>862</v>
      </c>
      <c r="E192">
        <v>730</v>
      </c>
      <c r="F192">
        <v>38</v>
      </c>
      <c r="G192">
        <v>2</v>
      </c>
      <c r="H192">
        <v>27</v>
      </c>
      <c r="I192">
        <v>38</v>
      </c>
      <c r="J192">
        <v>13</v>
      </c>
      <c r="K192">
        <v>21</v>
      </c>
      <c r="L192">
        <v>30</v>
      </c>
      <c r="M192">
        <v>17</v>
      </c>
      <c r="N192">
        <v>49</v>
      </c>
      <c r="O192">
        <v>13</v>
      </c>
      <c r="P192">
        <v>4</v>
      </c>
      <c r="Q192">
        <v>39</v>
      </c>
      <c r="R192">
        <v>37</v>
      </c>
      <c r="S192">
        <v>1</v>
      </c>
      <c r="T192">
        <v>15</v>
      </c>
      <c r="U192">
        <v>49</v>
      </c>
      <c r="V192">
        <v>12</v>
      </c>
      <c r="W192">
        <v>8</v>
      </c>
      <c r="X192">
        <v>30</v>
      </c>
      <c r="Y192">
        <v>49</v>
      </c>
      <c r="Z192">
        <v>46</v>
      </c>
      <c r="AA192">
        <v>13</v>
      </c>
      <c r="AB192">
        <v>24</v>
      </c>
      <c r="AC192">
        <v>15</v>
      </c>
      <c r="AD192">
        <v>3</v>
      </c>
      <c r="AE192">
        <v>3</v>
      </c>
      <c r="AF192">
        <v>38</v>
      </c>
      <c r="AG192">
        <v>38</v>
      </c>
      <c r="AH192">
        <v>40</v>
      </c>
      <c r="AI192">
        <v>36</v>
      </c>
      <c r="AJ192">
        <v>26</v>
      </c>
      <c r="AK192">
        <v>2</v>
      </c>
      <c r="AL192">
        <v>48</v>
      </c>
      <c r="AM192">
        <v>38</v>
      </c>
      <c r="AN192">
        <v>2</v>
      </c>
      <c r="AO192">
        <v>21</v>
      </c>
      <c r="AP192">
        <v>3</v>
      </c>
      <c r="AQ192">
        <v>33</v>
      </c>
      <c r="AR192">
        <v>40</v>
      </c>
      <c r="AS192">
        <v>45</v>
      </c>
      <c r="AT192">
        <v>19</v>
      </c>
      <c r="AU192">
        <v>25</v>
      </c>
      <c r="AV192">
        <v>37</v>
      </c>
      <c r="AW192">
        <v>23</v>
      </c>
      <c r="AX192">
        <v>45</v>
      </c>
      <c r="AY192">
        <v>17</v>
      </c>
      <c r="AZ192">
        <v>49</v>
      </c>
      <c r="BA192">
        <v>9</v>
      </c>
      <c r="BB192">
        <v>32</v>
      </c>
      <c r="BC192">
        <v>43</v>
      </c>
      <c r="BD192">
        <v>49</v>
      </c>
      <c r="BE192">
        <v>21</v>
      </c>
      <c r="BF192">
        <v>133630</v>
      </c>
      <c r="BG192">
        <v>6090</v>
      </c>
    </row>
    <row r="193" spans="1:59" x14ac:dyDescent="0.3">
      <c r="A193" s="3">
        <v>45483</v>
      </c>
      <c r="B193" t="s">
        <v>66</v>
      </c>
      <c r="C193">
        <v>7</v>
      </c>
      <c r="D193">
        <v>863</v>
      </c>
      <c r="E193">
        <v>730</v>
      </c>
      <c r="F193">
        <v>47</v>
      </c>
      <c r="G193">
        <v>23</v>
      </c>
      <c r="H193">
        <v>23</v>
      </c>
      <c r="I193">
        <v>41</v>
      </c>
      <c r="J193">
        <v>8</v>
      </c>
      <c r="K193">
        <v>23</v>
      </c>
      <c r="L193">
        <v>39</v>
      </c>
      <c r="M193">
        <v>11</v>
      </c>
      <c r="N193">
        <v>14</v>
      </c>
      <c r="O193">
        <v>41</v>
      </c>
      <c r="P193">
        <v>4</v>
      </c>
      <c r="Q193">
        <v>3</v>
      </c>
      <c r="R193">
        <v>46</v>
      </c>
      <c r="S193">
        <v>39</v>
      </c>
      <c r="T193">
        <v>43</v>
      </c>
      <c r="U193">
        <v>18</v>
      </c>
      <c r="V193">
        <v>1</v>
      </c>
      <c r="W193">
        <v>44</v>
      </c>
      <c r="X193">
        <v>17</v>
      </c>
      <c r="Y193">
        <v>24</v>
      </c>
      <c r="Z193">
        <v>6</v>
      </c>
      <c r="AA193">
        <v>10</v>
      </c>
      <c r="AB193">
        <v>46</v>
      </c>
      <c r="AC193">
        <v>25</v>
      </c>
      <c r="AD193">
        <v>20</v>
      </c>
      <c r="AE193">
        <v>17</v>
      </c>
      <c r="AF193">
        <v>23</v>
      </c>
      <c r="AG193">
        <v>35</v>
      </c>
      <c r="AH193">
        <v>26</v>
      </c>
      <c r="AI193">
        <v>17</v>
      </c>
      <c r="AJ193">
        <v>41</v>
      </c>
      <c r="AK193">
        <v>17</v>
      </c>
      <c r="AL193">
        <v>38</v>
      </c>
      <c r="AM193">
        <v>8</v>
      </c>
      <c r="AN193">
        <v>2</v>
      </c>
      <c r="AO193">
        <v>20</v>
      </c>
      <c r="AP193">
        <v>12</v>
      </c>
      <c r="AQ193">
        <v>11</v>
      </c>
      <c r="AR193">
        <v>40</v>
      </c>
      <c r="AS193">
        <v>48</v>
      </c>
      <c r="AT193">
        <v>2</v>
      </c>
      <c r="AU193">
        <v>6</v>
      </c>
      <c r="AV193">
        <v>45</v>
      </c>
      <c r="AW193">
        <v>37</v>
      </c>
      <c r="AX193">
        <v>27</v>
      </c>
      <c r="AY193">
        <v>2</v>
      </c>
      <c r="AZ193">
        <v>13</v>
      </c>
      <c r="BA193">
        <v>42</v>
      </c>
      <c r="BB193">
        <v>15</v>
      </c>
      <c r="BC193">
        <v>27</v>
      </c>
      <c r="BD193">
        <v>0</v>
      </c>
      <c r="BE193">
        <v>10</v>
      </c>
      <c r="BF193">
        <v>134180</v>
      </c>
      <c r="BG193">
        <v>6102</v>
      </c>
    </row>
    <row r="194" spans="1:59" x14ac:dyDescent="0.3">
      <c r="A194" s="3">
        <v>45484</v>
      </c>
      <c r="B194" t="s">
        <v>66</v>
      </c>
      <c r="C194">
        <v>7</v>
      </c>
      <c r="D194">
        <v>865</v>
      </c>
      <c r="E194">
        <v>731</v>
      </c>
      <c r="F194">
        <v>16</v>
      </c>
      <c r="G194">
        <v>2</v>
      </c>
      <c r="H194">
        <v>46</v>
      </c>
      <c r="I194">
        <v>3</v>
      </c>
      <c r="J194">
        <v>26</v>
      </c>
      <c r="K194">
        <v>21</v>
      </c>
      <c r="L194">
        <v>8</v>
      </c>
      <c r="M194">
        <v>7</v>
      </c>
      <c r="N194">
        <v>22</v>
      </c>
      <c r="O194">
        <v>18</v>
      </c>
      <c r="P194">
        <v>12</v>
      </c>
      <c r="Q194">
        <v>44</v>
      </c>
      <c r="R194">
        <v>11</v>
      </c>
      <c r="S194">
        <v>28</v>
      </c>
      <c r="T194">
        <v>40</v>
      </c>
      <c r="U194">
        <v>24</v>
      </c>
      <c r="V194">
        <v>10</v>
      </c>
      <c r="W194">
        <v>26</v>
      </c>
      <c r="X194">
        <v>37</v>
      </c>
      <c r="Y194">
        <v>37</v>
      </c>
      <c r="Z194">
        <v>21</v>
      </c>
      <c r="AA194">
        <v>34</v>
      </c>
      <c r="AB194">
        <v>45</v>
      </c>
      <c r="AC194">
        <v>17</v>
      </c>
      <c r="AD194">
        <v>18</v>
      </c>
      <c r="AE194">
        <v>31</v>
      </c>
      <c r="AF194">
        <v>14</v>
      </c>
      <c r="AG194">
        <v>36</v>
      </c>
      <c r="AH194">
        <v>20</v>
      </c>
      <c r="AI194">
        <v>5</v>
      </c>
      <c r="AJ194">
        <v>5</v>
      </c>
      <c r="AK194">
        <v>21</v>
      </c>
      <c r="AL194">
        <v>44</v>
      </c>
      <c r="AM194">
        <v>34</v>
      </c>
      <c r="AN194">
        <v>12</v>
      </c>
      <c r="AO194">
        <v>20</v>
      </c>
      <c r="AP194">
        <v>13</v>
      </c>
      <c r="AQ194">
        <v>44</v>
      </c>
      <c r="AR194">
        <v>5</v>
      </c>
      <c r="AS194">
        <v>27</v>
      </c>
      <c r="AT194">
        <v>46</v>
      </c>
      <c r="AU194">
        <v>41</v>
      </c>
      <c r="AV194">
        <v>29</v>
      </c>
      <c r="AW194">
        <v>40</v>
      </c>
      <c r="AX194">
        <v>2</v>
      </c>
      <c r="AY194">
        <v>19</v>
      </c>
      <c r="AZ194">
        <v>37</v>
      </c>
      <c r="BA194">
        <v>6</v>
      </c>
      <c r="BB194">
        <v>22</v>
      </c>
      <c r="BC194">
        <v>45</v>
      </c>
      <c r="BD194">
        <v>0</v>
      </c>
      <c r="BE194">
        <v>15</v>
      </c>
      <c r="BF194">
        <v>134731</v>
      </c>
      <c r="BG194">
        <v>6114</v>
      </c>
    </row>
    <row r="195" spans="1:59" x14ac:dyDescent="0.3">
      <c r="A195" s="3">
        <v>45485</v>
      </c>
      <c r="B195" t="s">
        <v>66</v>
      </c>
      <c r="C195">
        <v>7</v>
      </c>
      <c r="D195">
        <v>867</v>
      </c>
      <c r="E195">
        <v>732</v>
      </c>
      <c r="F195">
        <v>30</v>
      </c>
      <c r="G195">
        <v>14</v>
      </c>
      <c r="H195">
        <v>17</v>
      </c>
      <c r="I195">
        <v>10</v>
      </c>
      <c r="J195">
        <v>1</v>
      </c>
      <c r="K195">
        <v>12</v>
      </c>
      <c r="L195">
        <v>39</v>
      </c>
      <c r="M195">
        <v>2</v>
      </c>
      <c r="N195">
        <v>15</v>
      </c>
      <c r="O195">
        <v>28</v>
      </c>
      <c r="P195">
        <v>44</v>
      </c>
      <c r="Q195">
        <v>42</v>
      </c>
      <c r="R195">
        <v>45</v>
      </c>
      <c r="S195">
        <v>18</v>
      </c>
      <c r="T195">
        <v>35</v>
      </c>
      <c r="U195">
        <v>32</v>
      </c>
      <c r="V195">
        <v>35</v>
      </c>
      <c r="W195">
        <v>48</v>
      </c>
      <c r="X195">
        <v>28</v>
      </c>
      <c r="Y195">
        <v>9</v>
      </c>
      <c r="Z195">
        <v>5</v>
      </c>
      <c r="AA195">
        <v>13</v>
      </c>
      <c r="AB195">
        <v>5</v>
      </c>
      <c r="AC195">
        <v>37</v>
      </c>
      <c r="AD195">
        <v>12</v>
      </c>
      <c r="AE195">
        <v>12</v>
      </c>
      <c r="AF195">
        <v>36</v>
      </c>
      <c r="AG195">
        <v>21</v>
      </c>
      <c r="AH195">
        <v>27</v>
      </c>
      <c r="AI195">
        <v>3</v>
      </c>
      <c r="AJ195">
        <v>41</v>
      </c>
      <c r="AK195">
        <v>16</v>
      </c>
      <c r="AL195">
        <v>15</v>
      </c>
      <c r="AM195">
        <v>37</v>
      </c>
      <c r="AN195">
        <v>23</v>
      </c>
      <c r="AO195">
        <v>17</v>
      </c>
      <c r="AP195">
        <v>20</v>
      </c>
      <c r="AQ195">
        <v>30</v>
      </c>
      <c r="AR195">
        <v>12</v>
      </c>
      <c r="AS195">
        <v>32</v>
      </c>
      <c r="AT195">
        <v>0</v>
      </c>
      <c r="AU195">
        <v>32</v>
      </c>
      <c r="AV195">
        <v>34</v>
      </c>
      <c r="AW195">
        <v>32</v>
      </c>
      <c r="AX195">
        <v>22</v>
      </c>
      <c r="AY195">
        <v>0</v>
      </c>
      <c r="AZ195">
        <v>41</v>
      </c>
      <c r="BA195">
        <v>3</v>
      </c>
      <c r="BB195">
        <v>7</v>
      </c>
      <c r="BC195">
        <v>30</v>
      </c>
      <c r="BD195">
        <v>10</v>
      </c>
      <c r="BE195">
        <v>39</v>
      </c>
      <c r="BF195">
        <v>135282</v>
      </c>
      <c r="BG195">
        <v>6126</v>
      </c>
    </row>
    <row r="196" spans="1:59" x14ac:dyDescent="0.3">
      <c r="A196" s="3">
        <v>45486</v>
      </c>
      <c r="B196" t="s">
        <v>66</v>
      </c>
      <c r="C196">
        <v>7</v>
      </c>
      <c r="D196">
        <v>868</v>
      </c>
      <c r="E196">
        <v>732</v>
      </c>
      <c r="F196">
        <v>6</v>
      </c>
      <c r="G196">
        <v>22</v>
      </c>
      <c r="H196">
        <v>33</v>
      </c>
      <c r="I196">
        <v>31</v>
      </c>
      <c r="J196">
        <v>38</v>
      </c>
      <c r="K196">
        <v>37</v>
      </c>
      <c r="L196">
        <v>13</v>
      </c>
      <c r="M196">
        <v>46</v>
      </c>
      <c r="N196">
        <v>20</v>
      </c>
      <c r="O196">
        <v>40</v>
      </c>
      <c r="P196">
        <v>24</v>
      </c>
      <c r="Q196">
        <v>35</v>
      </c>
      <c r="R196">
        <v>49</v>
      </c>
      <c r="S196">
        <v>5</v>
      </c>
      <c r="T196">
        <v>40</v>
      </c>
      <c r="U196">
        <v>42</v>
      </c>
      <c r="V196">
        <v>0</v>
      </c>
      <c r="W196">
        <v>19</v>
      </c>
      <c r="X196">
        <v>41</v>
      </c>
      <c r="Y196">
        <v>21</v>
      </c>
      <c r="Z196">
        <v>35</v>
      </c>
      <c r="AA196">
        <v>14</v>
      </c>
      <c r="AB196">
        <v>4</v>
      </c>
      <c r="AC196">
        <v>25</v>
      </c>
      <c r="AD196">
        <v>30</v>
      </c>
      <c r="AE196">
        <v>3</v>
      </c>
      <c r="AF196">
        <v>35</v>
      </c>
      <c r="AG196">
        <v>4</v>
      </c>
      <c r="AH196">
        <v>2</v>
      </c>
      <c r="AI196">
        <v>29</v>
      </c>
      <c r="AJ196">
        <v>5</v>
      </c>
      <c r="AK196">
        <v>2</v>
      </c>
      <c r="AL196">
        <v>41</v>
      </c>
      <c r="AM196">
        <v>22</v>
      </c>
      <c r="AN196">
        <v>35</v>
      </c>
      <c r="AO196">
        <v>14</v>
      </c>
      <c r="AP196">
        <v>5</v>
      </c>
      <c r="AQ196">
        <v>15</v>
      </c>
      <c r="AR196">
        <v>32</v>
      </c>
      <c r="AS196">
        <v>30</v>
      </c>
      <c r="AT196">
        <v>6</v>
      </c>
      <c r="AU196">
        <v>32</v>
      </c>
      <c r="AV196">
        <v>35</v>
      </c>
      <c r="AW196">
        <v>38</v>
      </c>
      <c r="AX196">
        <v>12</v>
      </c>
      <c r="AY196">
        <v>49</v>
      </c>
      <c r="AZ196">
        <v>3</v>
      </c>
      <c r="BA196">
        <v>2</v>
      </c>
      <c r="BB196">
        <v>27</v>
      </c>
      <c r="BC196">
        <v>13</v>
      </c>
      <c r="BD196">
        <v>14</v>
      </c>
      <c r="BE196">
        <v>25</v>
      </c>
      <c r="BF196">
        <v>135832</v>
      </c>
      <c r="BG196">
        <v>6138</v>
      </c>
    </row>
    <row r="197" spans="1:59" x14ac:dyDescent="0.3">
      <c r="A197" s="3">
        <v>45487</v>
      </c>
      <c r="B197" t="s">
        <v>66</v>
      </c>
      <c r="C197">
        <v>7</v>
      </c>
      <c r="D197">
        <v>870</v>
      </c>
      <c r="E197">
        <v>733</v>
      </c>
      <c r="F197">
        <v>9</v>
      </c>
      <c r="G197">
        <v>4</v>
      </c>
      <c r="H197">
        <v>11</v>
      </c>
      <c r="I197">
        <v>16</v>
      </c>
      <c r="J197">
        <v>20</v>
      </c>
      <c r="K197">
        <v>6</v>
      </c>
      <c r="L197">
        <v>14</v>
      </c>
      <c r="M197">
        <v>5</v>
      </c>
      <c r="N197">
        <v>34</v>
      </c>
      <c r="O197">
        <v>30</v>
      </c>
      <c r="P197">
        <v>21</v>
      </c>
      <c r="Q197">
        <v>5</v>
      </c>
      <c r="R197">
        <v>42</v>
      </c>
      <c r="S197">
        <v>30</v>
      </c>
      <c r="T197">
        <v>48</v>
      </c>
      <c r="U197">
        <v>35</v>
      </c>
      <c r="V197">
        <v>33</v>
      </c>
      <c r="W197">
        <v>43</v>
      </c>
      <c r="X197">
        <v>1</v>
      </c>
      <c r="Y197">
        <v>47</v>
      </c>
      <c r="Z197">
        <v>8</v>
      </c>
      <c r="AA197">
        <v>4</v>
      </c>
      <c r="AB197">
        <v>12</v>
      </c>
      <c r="AC197">
        <v>0</v>
      </c>
      <c r="AD197">
        <v>29</v>
      </c>
      <c r="AE197">
        <v>4</v>
      </c>
      <c r="AF197">
        <v>39</v>
      </c>
      <c r="AG197">
        <v>7</v>
      </c>
      <c r="AH197">
        <v>30</v>
      </c>
      <c r="AI197">
        <v>22</v>
      </c>
      <c r="AJ197">
        <v>47</v>
      </c>
      <c r="AK197">
        <v>30</v>
      </c>
      <c r="AL197">
        <v>48</v>
      </c>
      <c r="AM197">
        <v>40</v>
      </c>
      <c r="AN197">
        <v>44</v>
      </c>
      <c r="AO197">
        <v>18</v>
      </c>
      <c r="AP197">
        <v>20</v>
      </c>
      <c r="AQ197">
        <v>44</v>
      </c>
      <c r="AR197">
        <v>44</v>
      </c>
      <c r="AS197">
        <v>4</v>
      </c>
      <c r="AT197">
        <v>32</v>
      </c>
      <c r="AU197">
        <v>41</v>
      </c>
      <c r="AV197">
        <v>29</v>
      </c>
      <c r="AW197">
        <v>14</v>
      </c>
      <c r="AX197">
        <v>22</v>
      </c>
      <c r="AY197">
        <v>28</v>
      </c>
      <c r="AZ197">
        <v>21</v>
      </c>
      <c r="BA197">
        <v>26</v>
      </c>
      <c r="BB197">
        <v>23</v>
      </c>
      <c r="BC197">
        <v>22</v>
      </c>
      <c r="BD197">
        <v>19</v>
      </c>
      <c r="BE197">
        <v>36</v>
      </c>
      <c r="BF197">
        <v>136383</v>
      </c>
      <c r="BG197">
        <v>6150</v>
      </c>
    </row>
    <row r="198" spans="1:59" x14ac:dyDescent="0.3">
      <c r="A198" s="3">
        <v>45488</v>
      </c>
      <c r="B198" t="s">
        <v>66</v>
      </c>
      <c r="C198">
        <v>7</v>
      </c>
      <c r="D198">
        <v>872</v>
      </c>
      <c r="E198">
        <v>734</v>
      </c>
      <c r="F198">
        <v>12</v>
      </c>
      <c r="G198">
        <v>15</v>
      </c>
      <c r="H198">
        <v>9</v>
      </c>
      <c r="I198">
        <v>37</v>
      </c>
      <c r="J198">
        <v>20</v>
      </c>
      <c r="K198">
        <v>7</v>
      </c>
      <c r="L198">
        <v>31</v>
      </c>
      <c r="M198">
        <v>26</v>
      </c>
      <c r="N198">
        <v>3</v>
      </c>
      <c r="O198">
        <v>3</v>
      </c>
      <c r="P198">
        <v>23</v>
      </c>
      <c r="Q198">
        <v>30</v>
      </c>
      <c r="R198">
        <v>17</v>
      </c>
      <c r="S198">
        <v>3</v>
      </c>
      <c r="T198">
        <v>37</v>
      </c>
      <c r="U198">
        <v>16</v>
      </c>
      <c r="V198">
        <v>29</v>
      </c>
      <c r="W198">
        <v>48</v>
      </c>
      <c r="X198">
        <v>33</v>
      </c>
      <c r="Y198">
        <v>28</v>
      </c>
      <c r="Z198">
        <v>38</v>
      </c>
      <c r="AA198">
        <v>1</v>
      </c>
      <c r="AB198">
        <v>31</v>
      </c>
      <c r="AC198">
        <v>3</v>
      </c>
      <c r="AD198">
        <v>40</v>
      </c>
      <c r="AE198">
        <v>20</v>
      </c>
      <c r="AF198">
        <v>35</v>
      </c>
      <c r="AG198">
        <v>34</v>
      </c>
      <c r="AH198">
        <v>37</v>
      </c>
      <c r="AI198">
        <v>42</v>
      </c>
      <c r="AJ198">
        <v>25</v>
      </c>
      <c r="AK198">
        <v>31</v>
      </c>
      <c r="AL198">
        <v>18</v>
      </c>
      <c r="AM198">
        <v>2</v>
      </c>
      <c r="AN198">
        <v>35</v>
      </c>
      <c r="AO198">
        <v>39</v>
      </c>
      <c r="AP198">
        <v>22</v>
      </c>
      <c r="AQ198">
        <v>40</v>
      </c>
      <c r="AR198">
        <v>42</v>
      </c>
      <c r="AS198">
        <v>49</v>
      </c>
      <c r="AT198">
        <v>34</v>
      </c>
      <c r="AU198">
        <v>44</v>
      </c>
      <c r="AV198">
        <v>2</v>
      </c>
      <c r="AW198">
        <v>16</v>
      </c>
      <c r="AX198">
        <v>24</v>
      </c>
      <c r="AY198">
        <v>9</v>
      </c>
      <c r="AZ198">
        <v>48</v>
      </c>
      <c r="BA198">
        <v>36</v>
      </c>
      <c r="BB198">
        <v>15</v>
      </c>
      <c r="BC198">
        <v>18</v>
      </c>
      <c r="BD198">
        <v>39</v>
      </c>
      <c r="BE198">
        <v>30</v>
      </c>
      <c r="BF198">
        <v>136934</v>
      </c>
      <c r="BG198">
        <v>6162</v>
      </c>
    </row>
    <row r="199" spans="1:59" x14ac:dyDescent="0.3">
      <c r="A199" s="3">
        <v>45489</v>
      </c>
      <c r="B199" t="s">
        <v>66</v>
      </c>
      <c r="C199">
        <v>7</v>
      </c>
      <c r="D199">
        <v>873</v>
      </c>
      <c r="E199">
        <v>734</v>
      </c>
      <c r="F199">
        <v>16</v>
      </c>
      <c r="G199">
        <v>18</v>
      </c>
      <c r="H199">
        <v>13</v>
      </c>
      <c r="I199">
        <v>36</v>
      </c>
      <c r="J199">
        <v>29</v>
      </c>
      <c r="K199">
        <v>0</v>
      </c>
      <c r="L199">
        <v>8</v>
      </c>
      <c r="M199">
        <v>20</v>
      </c>
      <c r="N199">
        <v>3</v>
      </c>
      <c r="O199">
        <v>45</v>
      </c>
      <c r="P199">
        <v>13</v>
      </c>
      <c r="Q199">
        <v>38</v>
      </c>
      <c r="R199">
        <v>33</v>
      </c>
      <c r="S199">
        <v>26</v>
      </c>
      <c r="T199">
        <v>4</v>
      </c>
      <c r="U199">
        <v>4</v>
      </c>
      <c r="V199">
        <v>24</v>
      </c>
      <c r="W199">
        <v>5</v>
      </c>
      <c r="X199">
        <v>14</v>
      </c>
      <c r="Y199">
        <v>20</v>
      </c>
      <c r="Z199">
        <v>1</v>
      </c>
      <c r="AA199">
        <v>38</v>
      </c>
      <c r="AB199">
        <v>42</v>
      </c>
      <c r="AC199">
        <v>17</v>
      </c>
      <c r="AD199">
        <v>42</v>
      </c>
      <c r="AE199">
        <v>29</v>
      </c>
      <c r="AF199">
        <v>47</v>
      </c>
      <c r="AG199">
        <v>46</v>
      </c>
      <c r="AH199">
        <v>34</v>
      </c>
      <c r="AI199">
        <v>17</v>
      </c>
      <c r="AJ199">
        <v>24</v>
      </c>
      <c r="AK199">
        <v>11</v>
      </c>
      <c r="AL199">
        <v>15</v>
      </c>
      <c r="AM199">
        <v>35</v>
      </c>
      <c r="AN199">
        <v>26</v>
      </c>
      <c r="AO199">
        <v>24</v>
      </c>
      <c r="AP199">
        <v>31</v>
      </c>
      <c r="AQ199">
        <v>21</v>
      </c>
      <c r="AR199">
        <v>14</v>
      </c>
      <c r="AS199">
        <v>15</v>
      </c>
      <c r="AT199">
        <v>10</v>
      </c>
      <c r="AU199">
        <v>37</v>
      </c>
      <c r="AV199">
        <v>36</v>
      </c>
      <c r="AW199">
        <v>39</v>
      </c>
      <c r="AX199">
        <v>21</v>
      </c>
      <c r="AY199">
        <v>0</v>
      </c>
      <c r="AZ199">
        <v>40</v>
      </c>
      <c r="BA199">
        <v>20</v>
      </c>
      <c r="BB199">
        <v>32</v>
      </c>
      <c r="BC199">
        <v>28</v>
      </c>
      <c r="BD199">
        <v>22</v>
      </c>
      <c r="BE199">
        <v>16</v>
      </c>
      <c r="BF199">
        <v>137484</v>
      </c>
      <c r="BG199">
        <v>6174</v>
      </c>
    </row>
    <row r="200" spans="1:59" x14ac:dyDescent="0.3">
      <c r="A200" s="3">
        <v>45490</v>
      </c>
      <c r="B200" t="s">
        <v>66</v>
      </c>
      <c r="C200">
        <v>7</v>
      </c>
      <c r="D200">
        <v>875</v>
      </c>
      <c r="E200">
        <v>735</v>
      </c>
      <c r="F200">
        <v>5</v>
      </c>
      <c r="G200">
        <v>16</v>
      </c>
      <c r="H200">
        <v>5</v>
      </c>
      <c r="I200">
        <v>34</v>
      </c>
      <c r="J200">
        <v>10</v>
      </c>
      <c r="K200">
        <v>26</v>
      </c>
      <c r="L200">
        <v>32</v>
      </c>
      <c r="M200">
        <v>21</v>
      </c>
      <c r="N200">
        <v>43</v>
      </c>
      <c r="O200">
        <v>43</v>
      </c>
      <c r="P200">
        <v>22</v>
      </c>
      <c r="Q200">
        <v>37</v>
      </c>
      <c r="R200">
        <v>17</v>
      </c>
      <c r="S200">
        <v>20</v>
      </c>
      <c r="T200">
        <v>14</v>
      </c>
      <c r="U200">
        <v>42</v>
      </c>
      <c r="V200">
        <v>20</v>
      </c>
      <c r="W200">
        <v>36</v>
      </c>
      <c r="X200">
        <v>11</v>
      </c>
      <c r="Y200">
        <v>48</v>
      </c>
      <c r="Z200">
        <v>9</v>
      </c>
      <c r="AA200">
        <v>24</v>
      </c>
      <c r="AB200">
        <v>5</v>
      </c>
      <c r="AC200">
        <v>12</v>
      </c>
      <c r="AD200">
        <v>27</v>
      </c>
      <c r="AE200">
        <v>30</v>
      </c>
      <c r="AF200">
        <v>41</v>
      </c>
      <c r="AG200">
        <v>36</v>
      </c>
      <c r="AH200">
        <v>22</v>
      </c>
      <c r="AI200">
        <v>40</v>
      </c>
      <c r="AJ200">
        <v>25</v>
      </c>
      <c r="AK200">
        <v>46</v>
      </c>
      <c r="AL200">
        <v>38</v>
      </c>
      <c r="AM200">
        <v>20</v>
      </c>
      <c r="AN200">
        <v>33</v>
      </c>
      <c r="AO200">
        <v>29</v>
      </c>
      <c r="AP200">
        <v>3</v>
      </c>
      <c r="AQ200">
        <v>7</v>
      </c>
      <c r="AR200">
        <v>8</v>
      </c>
      <c r="AS200">
        <v>13</v>
      </c>
      <c r="AT200">
        <v>12</v>
      </c>
      <c r="AU200">
        <v>14</v>
      </c>
      <c r="AV200">
        <v>15</v>
      </c>
      <c r="AW200">
        <v>13</v>
      </c>
      <c r="AX200">
        <v>14</v>
      </c>
      <c r="AY200">
        <v>39</v>
      </c>
      <c r="AZ200">
        <v>31</v>
      </c>
      <c r="BA200">
        <v>44</v>
      </c>
      <c r="BB200">
        <v>4</v>
      </c>
      <c r="BC200">
        <v>29</v>
      </c>
      <c r="BD200">
        <v>40</v>
      </c>
      <c r="BE200">
        <v>29</v>
      </c>
      <c r="BF200">
        <v>138035</v>
      </c>
      <c r="BG200">
        <v>6186</v>
      </c>
    </row>
    <row r="201" spans="1:59" x14ac:dyDescent="0.3">
      <c r="A201" s="3">
        <v>45491</v>
      </c>
      <c r="B201" t="s">
        <v>66</v>
      </c>
      <c r="C201">
        <v>7</v>
      </c>
      <c r="D201">
        <v>877</v>
      </c>
      <c r="E201">
        <v>736</v>
      </c>
      <c r="F201">
        <v>16</v>
      </c>
      <c r="G201">
        <v>13</v>
      </c>
      <c r="H201">
        <v>1</v>
      </c>
      <c r="I201">
        <v>0</v>
      </c>
      <c r="J201">
        <v>31</v>
      </c>
      <c r="K201">
        <v>8</v>
      </c>
      <c r="L201">
        <v>41</v>
      </c>
      <c r="M201">
        <v>33</v>
      </c>
      <c r="N201">
        <v>45</v>
      </c>
      <c r="O201">
        <v>22</v>
      </c>
      <c r="P201">
        <v>17</v>
      </c>
      <c r="Q201">
        <v>10</v>
      </c>
      <c r="R201">
        <v>33</v>
      </c>
      <c r="S201">
        <v>24</v>
      </c>
      <c r="T201">
        <v>1</v>
      </c>
      <c r="U201">
        <v>38</v>
      </c>
      <c r="V201">
        <v>21</v>
      </c>
      <c r="W201">
        <v>14</v>
      </c>
      <c r="X201">
        <v>39</v>
      </c>
      <c r="Y201">
        <v>45</v>
      </c>
      <c r="Z201">
        <v>3</v>
      </c>
      <c r="AA201">
        <v>17</v>
      </c>
      <c r="AB201">
        <v>15</v>
      </c>
      <c r="AC201">
        <v>15</v>
      </c>
      <c r="AD201">
        <v>40</v>
      </c>
      <c r="AE201">
        <v>5</v>
      </c>
      <c r="AF201">
        <v>27</v>
      </c>
      <c r="AG201">
        <v>40</v>
      </c>
      <c r="AH201">
        <v>38</v>
      </c>
      <c r="AI201">
        <v>17</v>
      </c>
      <c r="AJ201">
        <v>0</v>
      </c>
      <c r="AK201">
        <v>42</v>
      </c>
      <c r="AL201">
        <v>4</v>
      </c>
      <c r="AM201">
        <v>3</v>
      </c>
      <c r="AN201">
        <v>12</v>
      </c>
      <c r="AO201">
        <v>23</v>
      </c>
      <c r="AP201">
        <v>13</v>
      </c>
      <c r="AQ201">
        <v>44</v>
      </c>
      <c r="AR201">
        <v>0</v>
      </c>
      <c r="AS201">
        <v>46</v>
      </c>
      <c r="AT201">
        <v>4</v>
      </c>
      <c r="AU201">
        <v>49</v>
      </c>
      <c r="AV201">
        <v>29</v>
      </c>
      <c r="AW201">
        <v>45</v>
      </c>
      <c r="AX201">
        <v>48</v>
      </c>
      <c r="AY201">
        <v>5</v>
      </c>
      <c r="AZ201">
        <v>36</v>
      </c>
      <c r="BA201">
        <v>49</v>
      </c>
      <c r="BB201">
        <v>23</v>
      </c>
      <c r="BC201">
        <v>15</v>
      </c>
      <c r="BD201">
        <v>15</v>
      </c>
      <c r="BE201">
        <v>19</v>
      </c>
      <c r="BF201">
        <v>138586</v>
      </c>
      <c r="BG201">
        <v>6198</v>
      </c>
    </row>
    <row r="202" spans="1:59" x14ac:dyDescent="0.3">
      <c r="A202" s="3">
        <v>45492</v>
      </c>
      <c r="B202" t="s">
        <v>66</v>
      </c>
      <c r="C202">
        <v>7</v>
      </c>
      <c r="D202">
        <v>878</v>
      </c>
      <c r="E202">
        <v>736</v>
      </c>
      <c r="F202">
        <v>11</v>
      </c>
      <c r="G202">
        <v>48</v>
      </c>
      <c r="H202">
        <v>7</v>
      </c>
      <c r="I202">
        <v>11</v>
      </c>
      <c r="J202">
        <v>25</v>
      </c>
      <c r="K202">
        <v>6</v>
      </c>
      <c r="L202">
        <v>0</v>
      </c>
      <c r="M202">
        <v>32</v>
      </c>
      <c r="N202">
        <v>12</v>
      </c>
      <c r="O202">
        <v>10</v>
      </c>
      <c r="P202">
        <v>3</v>
      </c>
      <c r="Q202">
        <v>10</v>
      </c>
      <c r="R202">
        <v>3</v>
      </c>
      <c r="S202">
        <v>47</v>
      </c>
      <c r="T202">
        <v>40</v>
      </c>
      <c r="U202">
        <v>20</v>
      </c>
      <c r="V202">
        <v>17</v>
      </c>
      <c r="W202">
        <v>20</v>
      </c>
      <c r="X202">
        <v>11</v>
      </c>
      <c r="Y202">
        <v>21</v>
      </c>
      <c r="Z202">
        <v>18</v>
      </c>
      <c r="AA202">
        <v>18</v>
      </c>
      <c r="AB202">
        <v>2</v>
      </c>
      <c r="AC202">
        <v>29</v>
      </c>
      <c r="AD202">
        <v>4</v>
      </c>
      <c r="AE202">
        <v>10</v>
      </c>
      <c r="AF202">
        <v>43</v>
      </c>
      <c r="AG202">
        <v>45</v>
      </c>
      <c r="AH202">
        <v>8</v>
      </c>
      <c r="AI202">
        <v>18</v>
      </c>
      <c r="AJ202">
        <v>18</v>
      </c>
      <c r="AK202">
        <v>19</v>
      </c>
      <c r="AL202">
        <v>6</v>
      </c>
      <c r="AM202">
        <v>40</v>
      </c>
      <c r="AN202">
        <v>16</v>
      </c>
      <c r="AO202">
        <v>5</v>
      </c>
      <c r="AP202">
        <v>33</v>
      </c>
      <c r="AQ202">
        <v>16</v>
      </c>
      <c r="AR202">
        <v>12</v>
      </c>
      <c r="AS202">
        <v>31</v>
      </c>
      <c r="AT202">
        <v>19</v>
      </c>
      <c r="AU202">
        <v>1</v>
      </c>
      <c r="AV202">
        <v>41</v>
      </c>
      <c r="AW202">
        <v>20</v>
      </c>
      <c r="AX202">
        <v>3</v>
      </c>
      <c r="AY202">
        <v>31</v>
      </c>
      <c r="AZ202">
        <v>6</v>
      </c>
      <c r="BA202">
        <v>25</v>
      </c>
      <c r="BB202">
        <v>19</v>
      </c>
      <c r="BC202">
        <v>31</v>
      </c>
      <c r="BD202">
        <v>41</v>
      </c>
      <c r="BE202">
        <v>21</v>
      </c>
      <c r="BF202">
        <v>139136</v>
      </c>
      <c r="BG202">
        <v>6210</v>
      </c>
    </row>
    <row r="203" spans="1:59" x14ac:dyDescent="0.3">
      <c r="A203" s="3">
        <v>45493</v>
      </c>
      <c r="B203" t="s">
        <v>66</v>
      </c>
      <c r="C203">
        <v>7</v>
      </c>
      <c r="D203">
        <v>880</v>
      </c>
      <c r="E203">
        <v>737</v>
      </c>
      <c r="F203">
        <v>45</v>
      </c>
      <c r="G203">
        <v>33</v>
      </c>
      <c r="H203">
        <v>11</v>
      </c>
      <c r="I203">
        <v>5</v>
      </c>
      <c r="J203">
        <v>15</v>
      </c>
      <c r="K203">
        <v>0</v>
      </c>
      <c r="L203">
        <v>32</v>
      </c>
      <c r="M203">
        <v>28</v>
      </c>
      <c r="N203">
        <v>10</v>
      </c>
      <c r="O203">
        <v>33</v>
      </c>
      <c r="P203">
        <v>38</v>
      </c>
      <c r="Q203">
        <v>20</v>
      </c>
      <c r="R203">
        <v>41</v>
      </c>
      <c r="S203">
        <v>28</v>
      </c>
      <c r="T203">
        <v>18</v>
      </c>
      <c r="U203">
        <v>18</v>
      </c>
      <c r="V203">
        <v>33</v>
      </c>
      <c r="W203">
        <v>20</v>
      </c>
      <c r="X203">
        <v>27</v>
      </c>
      <c r="Y203">
        <v>47</v>
      </c>
      <c r="Z203">
        <v>48</v>
      </c>
      <c r="AA203">
        <v>33</v>
      </c>
      <c r="AB203">
        <v>31</v>
      </c>
      <c r="AC203">
        <v>40</v>
      </c>
      <c r="AD203">
        <v>9</v>
      </c>
      <c r="AE203">
        <v>4</v>
      </c>
      <c r="AF203">
        <v>2</v>
      </c>
      <c r="AG203">
        <v>43</v>
      </c>
      <c r="AH203">
        <v>38</v>
      </c>
      <c r="AI203">
        <v>21</v>
      </c>
      <c r="AJ203">
        <v>8</v>
      </c>
      <c r="AK203">
        <v>48</v>
      </c>
      <c r="AL203">
        <v>28</v>
      </c>
      <c r="AM203">
        <v>44</v>
      </c>
      <c r="AN203">
        <v>12</v>
      </c>
      <c r="AO203">
        <v>28</v>
      </c>
      <c r="AP203">
        <v>0</v>
      </c>
      <c r="AQ203">
        <v>36</v>
      </c>
      <c r="AR203">
        <v>4</v>
      </c>
      <c r="AS203">
        <v>39</v>
      </c>
      <c r="AT203">
        <v>8</v>
      </c>
      <c r="AU203">
        <v>2</v>
      </c>
      <c r="AV203">
        <v>1</v>
      </c>
      <c r="AW203">
        <v>35</v>
      </c>
      <c r="AX203">
        <v>12</v>
      </c>
      <c r="AY203">
        <v>23</v>
      </c>
      <c r="AZ203">
        <v>44</v>
      </c>
      <c r="BA203">
        <v>49</v>
      </c>
      <c r="BB203">
        <v>0</v>
      </c>
      <c r="BC203">
        <v>9</v>
      </c>
      <c r="BD203">
        <v>35</v>
      </c>
      <c r="BE203">
        <v>45</v>
      </c>
      <c r="BF203">
        <v>139687</v>
      </c>
      <c r="BG203">
        <v>6223</v>
      </c>
    </row>
    <row r="204" spans="1:59" x14ac:dyDescent="0.3">
      <c r="A204" s="3">
        <v>45494</v>
      </c>
      <c r="B204" t="s">
        <v>66</v>
      </c>
      <c r="C204">
        <v>7</v>
      </c>
      <c r="D204">
        <v>882</v>
      </c>
      <c r="E204">
        <v>738</v>
      </c>
      <c r="F204">
        <v>46</v>
      </c>
      <c r="G204">
        <v>41</v>
      </c>
      <c r="H204">
        <v>22</v>
      </c>
      <c r="I204">
        <v>34</v>
      </c>
      <c r="J204">
        <v>1</v>
      </c>
      <c r="K204">
        <v>31</v>
      </c>
      <c r="L204">
        <v>38</v>
      </c>
      <c r="M204">
        <v>27</v>
      </c>
      <c r="N204">
        <v>1</v>
      </c>
      <c r="O204">
        <v>14</v>
      </c>
      <c r="P204">
        <v>38</v>
      </c>
      <c r="Q204">
        <v>33</v>
      </c>
      <c r="R204">
        <v>25</v>
      </c>
      <c r="S204">
        <v>2</v>
      </c>
      <c r="T204">
        <v>27</v>
      </c>
      <c r="U204">
        <v>4</v>
      </c>
      <c r="V204">
        <v>26</v>
      </c>
      <c r="W204">
        <v>18</v>
      </c>
      <c r="X204">
        <v>40</v>
      </c>
      <c r="Y204">
        <v>36</v>
      </c>
      <c r="Z204">
        <v>38</v>
      </c>
      <c r="AA204">
        <v>12</v>
      </c>
      <c r="AB204">
        <v>25</v>
      </c>
      <c r="AC204">
        <v>3</v>
      </c>
      <c r="AD204">
        <v>2</v>
      </c>
      <c r="AE204">
        <v>9</v>
      </c>
      <c r="AF204">
        <v>41</v>
      </c>
      <c r="AG204">
        <v>43</v>
      </c>
      <c r="AH204">
        <v>8</v>
      </c>
      <c r="AI204">
        <v>28</v>
      </c>
      <c r="AJ204">
        <v>7</v>
      </c>
      <c r="AK204">
        <v>46</v>
      </c>
      <c r="AL204">
        <v>2</v>
      </c>
      <c r="AM204">
        <v>7</v>
      </c>
      <c r="AN204">
        <v>36</v>
      </c>
      <c r="AO204">
        <v>2</v>
      </c>
      <c r="AP204">
        <v>40</v>
      </c>
      <c r="AQ204">
        <v>15</v>
      </c>
      <c r="AR204">
        <v>43</v>
      </c>
      <c r="AS204">
        <v>34</v>
      </c>
      <c r="AT204">
        <v>35</v>
      </c>
      <c r="AU204">
        <v>3</v>
      </c>
      <c r="AV204">
        <v>41</v>
      </c>
      <c r="AW204">
        <v>22</v>
      </c>
      <c r="AX204">
        <v>6</v>
      </c>
      <c r="AY204">
        <v>9</v>
      </c>
      <c r="AZ204">
        <v>14</v>
      </c>
      <c r="BA204">
        <v>28</v>
      </c>
      <c r="BB204">
        <v>41</v>
      </c>
      <c r="BC204">
        <v>0</v>
      </c>
      <c r="BD204">
        <v>28</v>
      </c>
      <c r="BE204">
        <v>10</v>
      </c>
      <c r="BF204">
        <v>140238</v>
      </c>
      <c r="BG204">
        <v>6235</v>
      </c>
    </row>
    <row r="205" spans="1:59" x14ac:dyDescent="0.3">
      <c r="A205" s="3">
        <v>45495</v>
      </c>
      <c r="B205" t="s">
        <v>66</v>
      </c>
      <c r="C205">
        <v>7</v>
      </c>
      <c r="D205">
        <v>883</v>
      </c>
      <c r="E205">
        <v>739</v>
      </c>
      <c r="F205">
        <v>17</v>
      </c>
      <c r="G205">
        <v>28</v>
      </c>
      <c r="H205">
        <v>9</v>
      </c>
      <c r="I205">
        <v>39</v>
      </c>
      <c r="J205">
        <v>41</v>
      </c>
      <c r="K205">
        <v>3</v>
      </c>
      <c r="L205">
        <v>20</v>
      </c>
      <c r="M205">
        <v>49</v>
      </c>
      <c r="N205">
        <v>39</v>
      </c>
      <c r="O205">
        <v>24</v>
      </c>
      <c r="P205">
        <v>3</v>
      </c>
      <c r="Q205">
        <v>39</v>
      </c>
      <c r="R205">
        <v>0</v>
      </c>
      <c r="S205">
        <v>29</v>
      </c>
      <c r="T205">
        <v>4</v>
      </c>
      <c r="U205">
        <v>37</v>
      </c>
      <c r="V205">
        <v>27</v>
      </c>
      <c r="W205">
        <v>43</v>
      </c>
      <c r="X205">
        <v>29</v>
      </c>
      <c r="Y205">
        <v>7</v>
      </c>
      <c r="Z205">
        <v>12</v>
      </c>
      <c r="AA205">
        <v>14</v>
      </c>
      <c r="AB205">
        <v>35</v>
      </c>
      <c r="AC205">
        <v>6</v>
      </c>
      <c r="AD205">
        <v>43</v>
      </c>
      <c r="AE205">
        <v>1</v>
      </c>
      <c r="AF205">
        <v>26</v>
      </c>
      <c r="AG205">
        <v>23</v>
      </c>
      <c r="AH205">
        <v>19</v>
      </c>
      <c r="AI205">
        <v>24</v>
      </c>
      <c r="AJ205">
        <v>17</v>
      </c>
      <c r="AK205">
        <v>8</v>
      </c>
      <c r="AL205">
        <v>10</v>
      </c>
      <c r="AM205">
        <v>15</v>
      </c>
      <c r="AN205">
        <v>0</v>
      </c>
      <c r="AO205">
        <v>28</v>
      </c>
      <c r="AP205">
        <v>13</v>
      </c>
      <c r="AQ205">
        <v>27</v>
      </c>
      <c r="AR205">
        <v>38</v>
      </c>
      <c r="AS205">
        <v>0</v>
      </c>
      <c r="AT205">
        <v>33</v>
      </c>
      <c r="AU205">
        <v>44</v>
      </c>
      <c r="AV205">
        <v>16</v>
      </c>
      <c r="AW205">
        <v>14</v>
      </c>
      <c r="AX205">
        <v>21</v>
      </c>
      <c r="AY205">
        <v>32</v>
      </c>
      <c r="AZ205">
        <v>42</v>
      </c>
      <c r="BA205">
        <v>3</v>
      </c>
      <c r="BB205">
        <v>26</v>
      </c>
      <c r="BC205">
        <v>22</v>
      </c>
      <c r="BD205">
        <v>25</v>
      </c>
      <c r="BE205">
        <v>12</v>
      </c>
      <c r="BF205">
        <v>140789</v>
      </c>
      <c r="BG205">
        <v>6247</v>
      </c>
    </row>
    <row r="206" spans="1:59" x14ac:dyDescent="0.3">
      <c r="A206" s="3">
        <v>45496</v>
      </c>
      <c r="B206" t="s">
        <v>66</v>
      </c>
      <c r="C206">
        <v>7</v>
      </c>
      <c r="D206">
        <v>885</v>
      </c>
      <c r="E206">
        <v>739</v>
      </c>
      <c r="F206">
        <v>11</v>
      </c>
      <c r="G206">
        <v>0</v>
      </c>
      <c r="H206">
        <v>33</v>
      </c>
      <c r="I206">
        <v>31</v>
      </c>
      <c r="J206">
        <v>0</v>
      </c>
      <c r="K206">
        <v>47</v>
      </c>
      <c r="L206">
        <v>41</v>
      </c>
      <c r="M206">
        <v>2</v>
      </c>
      <c r="N206">
        <v>32</v>
      </c>
      <c r="O206">
        <v>39</v>
      </c>
      <c r="P206">
        <v>19</v>
      </c>
      <c r="Q206">
        <v>29</v>
      </c>
      <c r="R206">
        <v>49</v>
      </c>
      <c r="S206">
        <v>24</v>
      </c>
      <c r="T206">
        <v>16</v>
      </c>
      <c r="U206">
        <v>33</v>
      </c>
      <c r="V206">
        <v>43</v>
      </c>
      <c r="W206">
        <v>27</v>
      </c>
      <c r="X206">
        <v>21</v>
      </c>
      <c r="Y206">
        <v>10</v>
      </c>
      <c r="Z206">
        <v>48</v>
      </c>
      <c r="AA206">
        <v>48</v>
      </c>
      <c r="AB206">
        <v>0</v>
      </c>
      <c r="AC206">
        <v>4</v>
      </c>
      <c r="AD206">
        <v>43</v>
      </c>
      <c r="AE206">
        <v>27</v>
      </c>
      <c r="AF206">
        <v>40</v>
      </c>
      <c r="AG206">
        <v>26</v>
      </c>
      <c r="AH206">
        <v>19</v>
      </c>
      <c r="AI206">
        <v>43</v>
      </c>
      <c r="AJ206">
        <v>21</v>
      </c>
      <c r="AK206">
        <v>39</v>
      </c>
      <c r="AL206">
        <v>13</v>
      </c>
      <c r="AM206">
        <v>42</v>
      </c>
      <c r="AN206">
        <v>28</v>
      </c>
      <c r="AO206">
        <v>49</v>
      </c>
      <c r="AP206">
        <v>30</v>
      </c>
      <c r="AQ206">
        <v>42</v>
      </c>
      <c r="AR206">
        <v>10</v>
      </c>
      <c r="AS206">
        <v>39</v>
      </c>
      <c r="AT206">
        <v>21</v>
      </c>
      <c r="AU206">
        <v>9</v>
      </c>
      <c r="AV206">
        <v>8</v>
      </c>
      <c r="AW206">
        <v>37</v>
      </c>
      <c r="AX206">
        <v>44</v>
      </c>
      <c r="AY206">
        <v>26</v>
      </c>
      <c r="AZ206">
        <v>20</v>
      </c>
      <c r="BA206">
        <v>42</v>
      </c>
      <c r="BB206">
        <v>41</v>
      </c>
      <c r="BC206">
        <v>37</v>
      </c>
      <c r="BD206">
        <v>11</v>
      </c>
      <c r="BE206">
        <v>27</v>
      </c>
      <c r="BF206">
        <v>141339</v>
      </c>
      <c r="BG206">
        <v>6259</v>
      </c>
    </row>
    <row r="207" spans="1:59" x14ac:dyDescent="0.3">
      <c r="A207" s="3">
        <v>45497</v>
      </c>
      <c r="B207" t="s">
        <v>66</v>
      </c>
      <c r="C207">
        <v>7</v>
      </c>
      <c r="D207">
        <v>886</v>
      </c>
      <c r="E207">
        <v>740</v>
      </c>
      <c r="F207">
        <v>10</v>
      </c>
      <c r="G207">
        <v>27</v>
      </c>
      <c r="H207">
        <v>2</v>
      </c>
      <c r="I207">
        <v>6</v>
      </c>
      <c r="J207">
        <v>8</v>
      </c>
      <c r="K207">
        <v>11</v>
      </c>
      <c r="L207">
        <v>27</v>
      </c>
      <c r="M207">
        <v>7</v>
      </c>
      <c r="N207">
        <v>2</v>
      </c>
      <c r="O207">
        <v>13</v>
      </c>
      <c r="P207">
        <v>45</v>
      </c>
      <c r="Q207">
        <v>30</v>
      </c>
      <c r="R207">
        <v>34</v>
      </c>
      <c r="S207">
        <v>15</v>
      </c>
      <c r="T207">
        <v>8</v>
      </c>
      <c r="U207">
        <v>46</v>
      </c>
      <c r="V207">
        <v>36</v>
      </c>
      <c r="W207">
        <v>48</v>
      </c>
      <c r="X207">
        <v>6</v>
      </c>
      <c r="Y207">
        <v>45</v>
      </c>
      <c r="Z207">
        <v>13</v>
      </c>
      <c r="AA207">
        <v>35</v>
      </c>
      <c r="AB207">
        <v>39</v>
      </c>
      <c r="AC207">
        <v>6</v>
      </c>
      <c r="AD207">
        <v>35</v>
      </c>
      <c r="AE207">
        <v>32</v>
      </c>
      <c r="AF207">
        <v>26</v>
      </c>
      <c r="AG207">
        <v>23</v>
      </c>
      <c r="AH207">
        <v>47</v>
      </c>
      <c r="AI207">
        <v>14</v>
      </c>
      <c r="AJ207">
        <v>21</v>
      </c>
      <c r="AK207">
        <v>13</v>
      </c>
      <c r="AL207">
        <v>16</v>
      </c>
      <c r="AM207">
        <v>20</v>
      </c>
      <c r="AN207">
        <v>44</v>
      </c>
      <c r="AO207">
        <v>22</v>
      </c>
      <c r="AP207">
        <v>1</v>
      </c>
      <c r="AQ207">
        <v>41</v>
      </c>
      <c r="AR207">
        <v>40</v>
      </c>
      <c r="AS207">
        <v>2</v>
      </c>
      <c r="AT207">
        <v>38</v>
      </c>
      <c r="AU207">
        <v>19</v>
      </c>
      <c r="AV207">
        <v>26</v>
      </c>
      <c r="AW207">
        <v>3</v>
      </c>
      <c r="AX207">
        <v>37</v>
      </c>
      <c r="AY207">
        <v>21</v>
      </c>
      <c r="AZ207">
        <v>8</v>
      </c>
      <c r="BA207">
        <v>26</v>
      </c>
      <c r="BB207">
        <v>44</v>
      </c>
      <c r="BC207">
        <v>27</v>
      </c>
      <c r="BD207">
        <v>8</v>
      </c>
      <c r="BE207">
        <v>39</v>
      </c>
      <c r="BF207">
        <v>141890</v>
      </c>
      <c r="BG207">
        <v>6271</v>
      </c>
    </row>
    <row r="208" spans="1:59" x14ac:dyDescent="0.3">
      <c r="A208" s="3">
        <v>45498</v>
      </c>
      <c r="B208" t="s">
        <v>66</v>
      </c>
      <c r="C208">
        <v>7</v>
      </c>
      <c r="D208">
        <v>888</v>
      </c>
      <c r="E208">
        <v>741</v>
      </c>
      <c r="F208">
        <v>8</v>
      </c>
      <c r="G208">
        <v>27</v>
      </c>
      <c r="H208">
        <v>17</v>
      </c>
      <c r="I208">
        <v>30</v>
      </c>
      <c r="J208">
        <v>7</v>
      </c>
      <c r="K208">
        <v>9</v>
      </c>
      <c r="L208">
        <v>14</v>
      </c>
      <c r="M208">
        <v>3</v>
      </c>
      <c r="N208">
        <v>48</v>
      </c>
      <c r="O208">
        <v>18</v>
      </c>
      <c r="P208">
        <v>13</v>
      </c>
      <c r="Q208">
        <v>15</v>
      </c>
      <c r="R208">
        <v>25</v>
      </c>
      <c r="S208">
        <v>30</v>
      </c>
      <c r="T208">
        <v>3</v>
      </c>
      <c r="U208">
        <v>1</v>
      </c>
      <c r="V208">
        <v>46</v>
      </c>
      <c r="W208">
        <v>8</v>
      </c>
      <c r="X208">
        <v>48</v>
      </c>
      <c r="Y208">
        <v>10</v>
      </c>
      <c r="Z208">
        <v>40</v>
      </c>
      <c r="AA208">
        <v>46</v>
      </c>
      <c r="AB208">
        <v>4</v>
      </c>
      <c r="AC208">
        <v>32</v>
      </c>
      <c r="AD208">
        <v>19</v>
      </c>
      <c r="AE208">
        <v>47</v>
      </c>
      <c r="AF208">
        <v>34</v>
      </c>
      <c r="AG208">
        <v>16</v>
      </c>
      <c r="AH208">
        <v>8</v>
      </c>
      <c r="AI208">
        <v>32</v>
      </c>
      <c r="AJ208">
        <v>0</v>
      </c>
      <c r="AK208">
        <v>34</v>
      </c>
      <c r="AL208">
        <v>30</v>
      </c>
      <c r="AM208">
        <v>47</v>
      </c>
      <c r="AN208">
        <v>13</v>
      </c>
      <c r="AO208">
        <v>34</v>
      </c>
      <c r="AP208">
        <v>43</v>
      </c>
      <c r="AQ208">
        <v>32</v>
      </c>
      <c r="AR208">
        <v>31</v>
      </c>
      <c r="AS208">
        <v>37</v>
      </c>
      <c r="AT208">
        <v>1</v>
      </c>
      <c r="AU208">
        <v>27</v>
      </c>
      <c r="AV208">
        <v>19</v>
      </c>
      <c r="AW208">
        <v>19</v>
      </c>
      <c r="AX208">
        <v>28</v>
      </c>
      <c r="AY208">
        <v>34</v>
      </c>
      <c r="AZ208">
        <v>19</v>
      </c>
      <c r="BA208">
        <v>14</v>
      </c>
      <c r="BB208">
        <v>45</v>
      </c>
      <c r="BC208">
        <v>29</v>
      </c>
      <c r="BD208">
        <v>14</v>
      </c>
      <c r="BE208">
        <v>4</v>
      </c>
      <c r="BF208">
        <v>142441</v>
      </c>
      <c r="BG208">
        <v>6283</v>
      </c>
    </row>
    <row r="209" spans="1:59" x14ac:dyDescent="0.3">
      <c r="A209" s="3">
        <v>45499</v>
      </c>
      <c r="B209" t="s">
        <v>66</v>
      </c>
      <c r="C209">
        <v>7</v>
      </c>
      <c r="D209">
        <v>890</v>
      </c>
      <c r="E209">
        <v>741</v>
      </c>
      <c r="F209">
        <v>38</v>
      </c>
      <c r="G209">
        <v>17</v>
      </c>
      <c r="H209">
        <v>37</v>
      </c>
      <c r="I209">
        <v>9</v>
      </c>
      <c r="J209">
        <v>6</v>
      </c>
      <c r="K209">
        <v>41</v>
      </c>
      <c r="L209">
        <v>18</v>
      </c>
      <c r="M209">
        <v>48</v>
      </c>
      <c r="N209">
        <v>4</v>
      </c>
      <c r="O209">
        <v>7</v>
      </c>
      <c r="P209">
        <v>6</v>
      </c>
      <c r="Q209">
        <v>5</v>
      </c>
      <c r="R209">
        <v>49</v>
      </c>
      <c r="S209">
        <v>39</v>
      </c>
      <c r="T209">
        <v>28</v>
      </c>
      <c r="U209">
        <v>0</v>
      </c>
      <c r="V209">
        <v>1</v>
      </c>
      <c r="W209">
        <v>44</v>
      </c>
      <c r="X209">
        <v>15</v>
      </c>
      <c r="Y209">
        <v>42</v>
      </c>
      <c r="Z209">
        <v>33</v>
      </c>
      <c r="AA209">
        <v>29</v>
      </c>
      <c r="AB209">
        <v>49</v>
      </c>
      <c r="AC209">
        <v>45</v>
      </c>
      <c r="AD209">
        <v>17</v>
      </c>
      <c r="AE209">
        <v>27</v>
      </c>
      <c r="AF209">
        <v>28</v>
      </c>
      <c r="AG209">
        <v>49</v>
      </c>
      <c r="AH209">
        <v>34</v>
      </c>
      <c r="AI209">
        <v>14</v>
      </c>
      <c r="AJ209">
        <v>4</v>
      </c>
      <c r="AK209">
        <v>45</v>
      </c>
      <c r="AL209">
        <v>48</v>
      </c>
      <c r="AM209">
        <v>28</v>
      </c>
      <c r="AN209">
        <v>5</v>
      </c>
      <c r="AO209">
        <v>14</v>
      </c>
      <c r="AP209">
        <v>6</v>
      </c>
      <c r="AQ209">
        <v>18</v>
      </c>
      <c r="AR209">
        <v>17</v>
      </c>
      <c r="AS209">
        <v>35</v>
      </c>
      <c r="AT209">
        <v>9</v>
      </c>
      <c r="AU209">
        <v>3</v>
      </c>
      <c r="AV209">
        <v>4</v>
      </c>
      <c r="AW209">
        <v>41</v>
      </c>
      <c r="AX209">
        <v>49</v>
      </c>
      <c r="AY209">
        <v>13</v>
      </c>
      <c r="AZ209">
        <v>30</v>
      </c>
      <c r="BA209">
        <v>19</v>
      </c>
      <c r="BB209">
        <v>2</v>
      </c>
      <c r="BC209">
        <v>46</v>
      </c>
      <c r="BD209">
        <v>43</v>
      </c>
      <c r="BE209">
        <v>25</v>
      </c>
      <c r="BF209">
        <v>142991</v>
      </c>
      <c r="BG209">
        <v>6295</v>
      </c>
    </row>
    <row r="210" spans="1:59" x14ac:dyDescent="0.3">
      <c r="A210" s="3">
        <v>45500</v>
      </c>
      <c r="B210" t="s">
        <v>66</v>
      </c>
      <c r="C210">
        <v>7</v>
      </c>
      <c r="D210">
        <v>891</v>
      </c>
      <c r="E210">
        <v>742</v>
      </c>
      <c r="F210">
        <v>20</v>
      </c>
      <c r="G210">
        <v>15</v>
      </c>
      <c r="H210">
        <v>20</v>
      </c>
      <c r="I210">
        <v>29</v>
      </c>
      <c r="J210">
        <v>0</v>
      </c>
      <c r="K210">
        <v>41</v>
      </c>
      <c r="L210">
        <v>16</v>
      </c>
      <c r="M210">
        <v>25</v>
      </c>
      <c r="N210">
        <v>47</v>
      </c>
      <c r="O210">
        <v>43</v>
      </c>
      <c r="P210">
        <v>1</v>
      </c>
      <c r="Q210">
        <v>22</v>
      </c>
      <c r="R210">
        <v>37</v>
      </c>
      <c r="S210">
        <v>41</v>
      </c>
      <c r="T210">
        <v>19</v>
      </c>
      <c r="U210">
        <v>21</v>
      </c>
      <c r="V210">
        <v>32</v>
      </c>
      <c r="W210">
        <v>46</v>
      </c>
      <c r="X210">
        <v>41</v>
      </c>
      <c r="Y210">
        <v>17</v>
      </c>
      <c r="Z210">
        <v>30</v>
      </c>
      <c r="AA210">
        <v>17</v>
      </c>
      <c r="AB210">
        <v>21</v>
      </c>
      <c r="AC210">
        <v>20</v>
      </c>
      <c r="AD210">
        <v>1</v>
      </c>
      <c r="AE210">
        <v>0</v>
      </c>
      <c r="AF210">
        <v>28</v>
      </c>
      <c r="AG210">
        <v>19</v>
      </c>
      <c r="AH210">
        <v>22</v>
      </c>
      <c r="AI210">
        <v>20</v>
      </c>
      <c r="AJ210">
        <v>15</v>
      </c>
      <c r="AK210">
        <v>47</v>
      </c>
      <c r="AL210">
        <v>49</v>
      </c>
      <c r="AM210">
        <v>42</v>
      </c>
      <c r="AN210">
        <v>37</v>
      </c>
      <c r="AO210">
        <v>14</v>
      </c>
      <c r="AP210">
        <v>10</v>
      </c>
      <c r="AQ210">
        <v>17</v>
      </c>
      <c r="AR210">
        <v>4</v>
      </c>
      <c r="AS210">
        <v>5</v>
      </c>
      <c r="AT210">
        <v>14</v>
      </c>
      <c r="AU210">
        <v>26</v>
      </c>
      <c r="AV210">
        <v>38</v>
      </c>
      <c r="AW210">
        <v>21</v>
      </c>
      <c r="AX210">
        <v>12</v>
      </c>
      <c r="AY210">
        <v>5</v>
      </c>
      <c r="AZ210">
        <v>35</v>
      </c>
      <c r="BA210">
        <v>34</v>
      </c>
      <c r="BB210">
        <v>48</v>
      </c>
      <c r="BC210">
        <v>34</v>
      </c>
      <c r="BD210">
        <v>29</v>
      </c>
      <c r="BE210">
        <v>14</v>
      </c>
      <c r="BF210">
        <v>143542</v>
      </c>
      <c r="BG210">
        <v>6307</v>
      </c>
    </row>
    <row r="211" spans="1:59" x14ac:dyDescent="0.3">
      <c r="A211" s="3">
        <v>45501</v>
      </c>
      <c r="B211" t="s">
        <v>66</v>
      </c>
      <c r="C211">
        <v>7</v>
      </c>
      <c r="D211">
        <v>893</v>
      </c>
      <c r="E211">
        <v>743</v>
      </c>
      <c r="F211">
        <v>38</v>
      </c>
      <c r="G211">
        <v>29</v>
      </c>
      <c r="H211">
        <v>30</v>
      </c>
      <c r="I211">
        <v>49</v>
      </c>
      <c r="J211">
        <v>34</v>
      </c>
      <c r="K211">
        <v>31</v>
      </c>
      <c r="L211">
        <v>20</v>
      </c>
      <c r="M211">
        <v>6</v>
      </c>
      <c r="N211">
        <v>31</v>
      </c>
      <c r="O211">
        <v>42</v>
      </c>
      <c r="P211">
        <v>11</v>
      </c>
      <c r="Q211">
        <v>31</v>
      </c>
      <c r="R211">
        <v>40</v>
      </c>
      <c r="S211">
        <v>12</v>
      </c>
      <c r="T211">
        <v>0</v>
      </c>
      <c r="U211">
        <v>20</v>
      </c>
      <c r="V211">
        <v>1</v>
      </c>
      <c r="W211">
        <v>26</v>
      </c>
      <c r="X211">
        <v>32</v>
      </c>
      <c r="Y211">
        <v>36</v>
      </c>
      <c r="Z211">
        <v>3</v>
      </c>
      <c r="AA211">
        <v>12</v>
      </c>
      <c r="AB211">
        <v>10</v>
      </c>
      <c r="AC211">
        <v>18</v>
      </c>
      <c r="AD211">
        <v>22</v>
      </c>
      <c r="AE211">
        <v>18</v>
      </c>
      <c r="AF211">
        <v>37</v>
      </c>
      <c r="AG211">
        <v>13</v>
      </c>
      <c r="AH211">
        <v>44</v>
      </c>
      <c r="AI211">
        <v>41</v>
      </c>
      <c r="AJ211">
        <v>40</v>
      </c>
      <c r="AK211">
        <v>10</v>
      </c>
      <c r="AL211">
        <v>6</v>
      </c>
      <c r="AM211">
        <v>5</v>
      </c>
      <c r="AN211">
        <v>39</v>
      </c>
      <c r="AO211">
        <v>3</v>
      </c>
      <c r="AP211">
        <v>22</v>
      </c>
      <c r="AQ211">
        <v>42</v>
      </c>
      <c r="AR211">
        <v>42</v>
      </c>
      <c r="AS211">
        <v>18</v>
      </c>
      <c r="AT211">
        <v>9</v>
      </c>
      <c r="AU211">
        <v>20</v>
      </c>
      <c r="AV211">
        <v>39</v>
      </c>
      <c r="AW211">
        <v>42</v>
      </c>
      <c r="AX211">
        <v>14</v>
      </c>
      <c r="AY211">
        <v>34</v>
      </c>
      <c r="AZ211">
        <v>43</v>
      </c>
      <c r="BA211">
        <v>9</v>
      </c>
      <c r="BB211">
        <v>20</v>
      </c>
      <c r="BC211">
        <v>11</v>
      </c>
      <c r="BD211">
        <v>17</v>
      </c>
      <c r="BE211">
        <v>47</v>
      </c>
      <c r="BF211">
        <v>144093</v>
      </c>
      <c r="BG211">
        <v>6319</v>
      </c>
    </row>
    <row r="212" spans="1:59" x14ac:dyDescent="0.3">
      <c r="A212" s="3">
        <v>45502</v>
      </c>
      <c r="B212" t="s">
        <v>66</v>
      </c>
      <c r="C212">
        <v>7</v>
      </c>
      <c r="D212">
        <v>895</v>
      </c>
      <c r="E212">
        <v>743</v>
      </c>
      <c r="F212">
        <v>24</v>
      </c>
      <c r="G212">
        <v>2</v>
      </c>
      <c r="H212">
        <v>46</v>
      </c>
      <c r="I212">
        <v>42</v>
      </c>
      <c r="J212">
        <v>35</v>
      </c>
      <c r="K212">
        <v>44</v>
      </c>
      <c r="L212">
        <v>16</v>
      </c>
      <c r="M212">
        <v>35</v>
      </c>
      <c r="N212">
        <v>30</v>
      </c>
      <c r="O212">
        <v>0</v>
      </c>
      <c r="P212">
        <v>35</v>
      </c>
      <c r="Q212">
        <v>48</v>
      </c>
      <c r="R212">
        <v>21</v>
      </c>
      <c r="S212">
        <v>35</v>
      </c>
      <c r="T212">
        <v>48</v>
      </c>
      <c r="U212">
        <v>22</v>
      </c>
      <c r="V212">
        <v>43</v>
      </c>
      <c r="W212">
        <v>39</v>
      </c>
      <c r="X212">
        <v>44</v>
      </c>
      <c r="Y212">
        <v>9</v>
      </c>
      <c r="Z212">
        <v>7</v>
      </c>
      <c r="AA212">
        <v>30</v>
      </c>
      <c r="AB212">
        <v>35</v>
      </c>
      <c r="AC212">
        <v>11</v>
      </c>
      <c r="AD212">
        <v>23</v>
      </c>
      <c r="AE212">
        <v>30</v>
      </c>
      <c r="AF212">
        <v>7</v>
      </c>
      <c r="AG212">
        <v>30</v>
      </c>
      <c r="AH212">
        <v>21</v>
      </c>
      <c r="AI212">
        <v>18</v>
      </c>
      <c r="AJ212">
        <v>48</v>
      </c>
      <c r="AK212">
        <v>24</v>
      </c>
      <c r="AL212">
        <v>17</v>
      </c>
      <c r="AM212">
        <v>27</v>
      </c>
      <c r="AN212">
        <v>26</v>
      </c>
      <c r="AO212">
        <v>2</v>
      </c>
      <c r="AP212">
        <v>19</v>
      </c>
      <c r="AQ212">
        <v>36</v>
      </c>
      <c r="AR212">
        <v>29</v>
      </c>
      <c r="AS212">
        <v>23</v>
      </c>
      <c r="AT212">
        <v>32</v>
      </c>
      <c r="AU212">
        <v>43</v>
      </c>
      <c r="AV212">
        <v>34</v>
      </c>
      <c r="AW212">
        <v>10</v>
      </c>
      <c r="AX212">
        <v>34</v>
      </c>
      <c r="AY212">
        <v>1</v>
      </c>
      <c r="AZ212">
        <v>40</v>
      </c>
      <c r="BA212">
        <v>32</v>
      </c>
      <c r="BB212">
        <v>11</v>
      </c>
      <c r="BC212">
        <v>38</v>
      </c>
      <c r="BD212">
        <v>35</v>
      </c>
      <c r="BE212">
        <v>5</v>
      </c>
      <c r="BF212">
        <v>144643</v>
      </c>
      <c r="BG212">
        <v>6331</v>
      </c>
    </row>
    <row r="213" spans="1:59" x14ac:dyDescent="0.3">
      <c r="A213" s="3">
        <v>45503</v>
      </c>
      <c r="B213" t="s">
        <v>66</v>
      </c>
      <c r="C213">
        <v>7</v>
      </c>
      <c r="D213">
        <v>896</v>
      </c>
      <c r="E213">
        <v>744</v>
      </c>
      <c r="F213">
        <v>33</v>
      </c>
      <c r="G213">
        <v>37</v>
      </c>
      <c r="H213">
        <v>33</v>
      </c>
      <c r="I213">
        <v>33</v>
      </c>
      <c r="J213">
        <v>41</v>
      </c>
      <c r="K213">
        <v>28</v>
      </c>
      <c r="L213">
        <v>27</v>
      </c>
      <c r="M213">
        <v>41</v>
      </c>
      <c r="N213">
        <v>7</v>
      </c>
      <c r="O213">
        <v>43</v>
      </c>
      <c r="P213">
        <v>27</v>
      </c>
      <c r="Q213">
        <v>26</v>
      </c>
      <c r="R213">
        <v>27</v>
      </c>
      <c r="S213">
        <v>21</v>
      </c>
      <c r="T213">
        <v>49</v>
      </c>
      <c r="U213">
        <v>48</v>
      </c>
      <c r="V213">
        <v>22</v>
      </c>
      <c r="W213">
        <v>5</v>
      </c>
      <c r="X213">
        <v>2</v>
      </c>
      <c r="Y213">
        <v>24</v>
      </c>
      <c r="Z213">
        <v>36</v>
      </c>
      <c r="AA213">
        <v>5</v>
      </c>
      <c r="AB213">
        <v>16</v>
      </c>
      <c r="AC213">
        <v>43</v>
      </c>
      <c r="AD213">
        <v>28</v>
      </c>
      <c r="AE213">
        <v>36</v>
      </c>
      <c r="AF213">
        <v>1</v>
      </c>
      <c r="AG213">
        <v>45</v>
      </c>
      <c r="AH213">
        <v>37</v>
      </c>
      <c r="AI213">
        <v>10</v>
      </c>
      <c r="AJ213">
        <v>47</v>
      </c>
      <c r="AK213">
        <v>30</v>
      </c>
      <c r="AL213">
        <v>29</v>
      </c>
      <c r="AM213">
        <v>11</v>
      </c>
      <c r="AN213">
        <v>44</v>
      </c>
      <c r="AO213">
        <v>35</v>
      </c>
      <c r="AP213">
        <v>19</v>
      </c>
      <c r="AQ213">
        <v>20</v>
      </c>
      <c r="AR213">
        <v>34</v>
      </c>
      <c r="AS213">
        <v>6</v>
      </c>
      <c r="AT213">
        <v>17</v>
      </c>
      <c r="AU213">
        <v>19</v>
      </c>
      <c r="AV213">
        <v>17</v>
      </c>
      <c r="AW213">
        <v>33</v>
      </c>
      <c r="AX213">
        <v>44</v>
      </c>
      <c r="AY213">
        <v>36</v>
      </c>
      <c r="AZ213">
        <v>45</v>
      </c>
      <c r="BA213">
        <v>17</v>
      </c>
      <c r="BB213">
        <v>46</v>
      </c>
      <c r="BC213">
        <v>28</v>
      </c>
      <c r="BD213">
        <v>41</v>
      </c>
      <c r="BE213">
        <v>37</v>
      </c>
      <c r="BF213">
        <v>145194</v>
      </c>
      <c r="BG213">
        <v>6343</v>
      </c>
    </row>
    <row r="214" spans="1:59" x14ac:dyDescent="0.3">
      <c r="A214" s="3">
        <v>45504</v>
      </c>
      <c r="B214" t="s">
        <v>66</v>
      </c>
      <c r="C214">
        <v>7</v>
      </c>
      <c r="D214">
        <v>898</v>
      </c>
      <c r="E214">
        <v>745</v>
      </c>
      <c r="F214">
        <v>14</v>
      </c>
      <c r="G214">
        <v>43</v>
      </c>
      <c r="H214">
        <v>20</v>
      </c>
      <c r="I214">
        <v>41</v>
      </c>
      <c r="J214">
        <v>36</v>
      </c>
      <c r="K214">
        <v>12</v>
      </c>
      <c r="L214">
        <v>12</v>
      </c>
      <c r="M214">
        <v>5</v>
      </c>
      <c r="N214">
        <v>39</v>
      </c>
      <c r="O214">
        <v>16</v>
      </c>
      <c r="P214">
        <v>31</v>
      </c>
      <c r="Q214">
        <v>38</v>
      </c>
      <c r="R214">
        <v>0</v>
      </c>
      <c r="S214">
        <v>19</v>
      </c>
      <c r="T214">
        <v>37</v>
      </c>
      <c r="U214">
        <v>2</v>
      </c>
      <c r="V214">
        <v>49</v>
      </c>
      <c r="W214">
        <v>45</v>
      </c>
      <c r="X214">
        <v>16</v>
      </c>
      <c r="Y214">
        <v>22</v>
      </c>
      <c r="Z214">
        <v>18</v>
      </c>
      <c r="AA214">
        <v>38</v>
      </c>
      <c r="AB214">
        <v>28</v>
      </c>
      <c r="AC214">
        <v>35</v>
      </c>
      <c r="AD214">
        <v>43</v>
      </c>
      <c r="AE214">
        <v>34</v>
      </c>
      <c r="AF214">
        <v>1</v>
      </c>
      <c r="AG214">
        <v>16</v>
      </c>
      <c r="AH214">
        <v>22</v>
      </c>
      <c r="AI214">
        <v>30</v>
      </c>
      <c r="AJ214">
        <v>28</v>
      </c>
      <c r="AK214">
        <v>16</v>
      </c>
      <c r="AL214">
        <v>3</v>
      </c>
      <c r="AM214">
        <v>41</v>
      </c>
      <c r="AN214">
        <v>47</v>
      </c>
      <c r="AO214">
        <v>36</v>
      </c>
      <c r="AP214">
        <v>47</v>
      </c>
      <c r="AQ214">
        <v>29</v>
      </c>
      <c r="AR214">
        <v>20</v>
      </c>
      <c r="AS214">
        <v>14</v>
      </c>
      <c r="AT214">
        <v>31</v>
      </c>
      <c r="AU214">
        <v>44</v>
      </c>
      <c r="AV214">
        <v>32</v>
      </c>
      <c r="AW214">
        <v>9</v>
      </c>
      <c r="AX214">
        <v>23</v>
      </c>
      <c r="AY214">
        <v>47</v>
      </c>
      <c r="AZ214">
        <v>17</v>
      </c>
      <c r="BA214">
        <v>42</v>
      </c>
      <c r="BB214">
        <v>3</v>
      </c>
      <c r="BC214">
        <v>48</v>
      </c>
      <c r="BD214">
        <v>10</v>
      </c>
      <c r="BE214">
        <v>33</v>
      </c>
      <c r="BF214">
        <v>145745</v>
      </c>
      <c r="BG214">
        <v>6355</v>
      </c>
    </row>
    <row r="215" spans="1:59" x14ac:dyDescent="0.3">
      <c r="A215" s="3">
        <v>45505</v>
      </c>
      <c r="B215" t="s">
        <v>67</v>
      </c>
      <c r="C215">
        <v>8</v>
      </c>
      <c r="D215">
        <v>900</v>
      </c>
      <c r="E215">
        <v>745</v>
      </c>
      <c r="F215">
        <v>1</v>
      </c>
      <c r="G215">
        <v>13</v>
      </c>
      <c r="H215">
        <v>18</v>
      </c>
      <c r="I215">
        <v>16</v>
      </c>
      <c r="J215">
        <v>47</v>
      </c>
      <c r="K215">
        <v>21</v>
      </c>
      <c r="L215">
        <v>19</v>
      </c>
      <c r="M215">
        <v>31</v>
      </c>
      <c r="N215">
        <v>21</v>
      </c>
      <c r="O215">
        <v>40</v>
      </c>
      <c r="P215">
        <v>34</v>
      </c>
      <c r="Q215">
        <v>14</v>
      </c>
      <c r="R215">
        <v>30</v>
      </c>
      <c r="S215">
        <v>23</v>
      </c>
      <c r="T215">
        <v>35</v>
      </c>
      <c r="U215">
        <v>10</v>
      </c>
      <c r="V215">
        <v>48</v>
      </c>
      <c r="W215">
        <v>9</v>
      </c>
      <c r="X215">
        <v>47</v>
      </c>
      <c r="Y215">
        <v>38</v>
      </c>
      <c r="Z215">
        <v>35</v>
      </c>
      <c r="AA215">
        <v>45</v>
      </c>
      <c r="AB215">
        <v>10</v>
      </c>
      <c r="AC215">
        <v>18</v>
      </c>
      <c r="AD215">
        <v>4</v>
      </c>
      <c r="AE215">
        <v>42</v>
      </c>
      <c r="AF215">
        <v>34</v>
      </c>
      <c r="AG215">
        <v>48</v>
      </c>
      <c r="AH215">
        <v>5</v>
      </c>
      <c r="AI215">
        <v>19</v>
      </c>
      <c r="AJ215">
        <v>1</v>
      </c>
      <c r="AK215">
        <v>27</v>
      </c>
      <c r="AL215">
        <v>33</v>
      </c>
      <c r="AM215">
        <v>22</v>
      </c>
      <c r="AN215">
        <v>47</v>
      </c>
      <c r="AO215">
        <v>43</v>
      </c>
      <c r="AP215">
        <v>0</v>
      </c>
      <c r="AQ215">
        <v>7</v>
      </c>
      <c r="AR215">
        <v>44</v>
      </c>
      <c r="AS215">
        <v>20</v>
      </c>
      <c r="AT215">
        <v>24</v>
      </c>
      <c r="AU215">
        <v>43</v>
      </c>
      <c r="AV215">
        <v>31</v>
      </c>
      <c r="AW215">
        <v>31</v>
      </c>
      <c r="AX215">
        <v>34</v>
      </c>
      <c r="AY215">
        <v>37</v>
      </c>
      <c r="AZ215">
        <v>29</v>
      </c>
      <c r="BA215">
        <v>2</v>
      </c>
      <c r="BB215">
        <v>11</v>
      </c>
      <c r="BC215">
        <v>7</v>
      </c>
      <c r="BD215">
        <v>42</v>
      </c>
      <c r="BE215">
        <v>1</v>
      </c>
      <c r="BF215">
        <v>146295</v>
      </c>
      <c r="BG215">
        <v>6367</v>
      </c>
    </row>
    <row r="216" spans="1:59" x14ac:dyDescent="0.3">
      <c r="A216" s="3">
        <v>45506</v>
      </c>
      <c r="B216" t="s">
        <v>67</v>
      </c>
      <c r="C216">
        <v>8</v>
      </c>
      <c r="D216">
        <v>901</v>
      </c>
      <c r="E216">
        <v>746</v>
      </c>
      <c r="F216">
        <v>2</v>
      </c>
      <c r="G216">
        <v>6</v>
      </c>
      <c r="H216">
        <v>6</v>
      </c>
      <c r="I216">
        <v>31</v>
      </c>
      <c r="J216">
        <v>20</v>
      </c>
      <c r="K216">
        <v>27</v>
      </c>
      <c r="L216">
        <v>33</v>
      </c>
      <c r="M216">
        <v>49</v>
      </c>
      <c r="N216">
        <v>28</v>
      </c>
      <c r="O216">
        <v>23</v>
      </c>
      <c r="P216">
        <v>35</v>
      </c>
      <c r="Q216">
        <v>7</v>
      </c>
      <c r="R216">
        <v>35</v>
      </c>
      <c r="S216">
        <v>12</v>
      </c>
      <c r="T216">
        <v>11</v>
      </c>
      <c r="U216">
        <v>38</v>
      </c>
      <c r="V216">
        <v>8</v>
      </c>
      <c r="W216">
        <v>20</v>
      </c>
      <c r="X216">
        <v>13</v>
      </c>
      <c r="Y216">
        <v>44</v>
      </c>
      <c r="Z216">
        <v>46</v>
      </c>
      <c r="AA216">
        <v>33</v>
      </c>
      <c r="AB216">
        <v>25</v>
      </c>
      <c r="AC216">
        <v>17</v>
      </c>
      <c r="AD216">
        <v>15</v>
      </c>
      <c r="AE216">
        <v>48</v>
      </c>
      <c r="AF216">
        <v>21</v>
      </c>
      <c r="AG216">
        <v>25</v>
      </c>
      <c r="AH216">
        <v>33</v>
      </c>
      <c r="AI216">
        <v>22</v>
      </c>
      <c r="AJ216">
        <v>7</v>
      </c>
      <c r="AK216">
        <v>13</v>
      </c>
      <c r="AL216">
        <v>17</v>
      </c>
      <c r="AM216">
        <v>31</v>
      </c>
      <c r="AN216">
        <v>25</v>
      </c>
      <c r="AO216">
        <v>4</v>
      </c>
      <c r="AP216">
        <v>7</v>
      </c>
      <c r="AQ216">
        <v>18</v>
      </c>
      <c r="AR216">
        <v>3</v>
      </c>
      <c r="AS216">
        <v>48</v>
      </c>
      <c r="AT216">
        <v>32</v>
      </c>
      <c r="AU216">
        <v>22</v>
      </c>
      <c r="AV216">
        <v>22</v>
      </c>
      <c r="AW216">
        <v>9</v>
      </c>
      <c r="AX216">
        <v>40</v>
      </c>
      <c r="AY216">
        <v>32</v>
      </c>
      <c r="AZ216">
        <v>14</v>
      </c>
      <c r="BA216">
        <v>29</v>
      </c>
      <c r="BB216">
        <v>27</v>
      </c>
      <c r="BC216">
        <v>5</v>
      </c>
      <c r="BD216">
        <v>22</v>
      </c>
      <c r="BE216">
        <v>45</v>
      </c>
      <c r="BF216">
        <v>146846</v>
      </c>
      <c r="BG216">
        <v>6379</v>
      </c>
    </row>
    <row r="217" spans="1:59" x14ac:dyDescent="0.3">
      <c r="A217" s="3">
        <v>45507</v>
      </c>
      <c r="B217" t="s">
        <v>67</v>
      </c>
      <c r="C217">
        <v>8</v>
      </c>
      <c r="D217">
        <v>903</v>
      </c>
      <c r="E217">
        <v>747</v>
      </c>
      <c r="F217">
        <v>24</v>
      </c>
      <c r="G217">
        <v>21</v>
      </c>
      <c r="H217">
        <v>1</v>
      </c>
      <c r="I217">
        <v>17</v>
      </c>
      <c r="J217">
        <v>3</v>
      </c>
      <c r="K217">
        <v>25</v>
      </c>
      <c r="L217">
        <v>48</v>
      </c>
      <c r="M217">
        <v>22</v>
      </c>
      <c r="N217">
        <v>9</v>
      </c>
      <c r="O217">
        <v>46</v>
      </c>
      <c r="P217">
        <v>1</v>
      </c>
      <c r="Q217">
        <v>0</v>
      </c>
      <c r="R217">
        <v>15</v>
      </c>
      <c r="S217">
        <v>38</v>
      </c>
      <c r="T217">
        <v>49</v>
      </c>
      <c r="U217">
        <v>25</v>
      </c>
      <c r="V217">
        <v>9</v>
      </c>
      <c r="W217">
        <v>25</v>
      </c>
      <c r="X217">
        <v>9</v>
      </c>
      <c r="Y217">
        <v>29</v>
      </c>
      <c r="Z217">
        <v>6</v>
      </c>
      <c r="AA217">
        <v>26</v>
      </c>
      <c r="AB217">
        <v>3</v>
      </c>
      <c r="AC217">
        <v>15</v>
      </c>
      <c r="AD217">
        <v>0</v>
      </c>
      <c r="AE217">
        <v>39</v>
      </c>
      <c r="AF217">
        <v>43</v>
      </c>
      <c r="AG217">
        <v>0</v>
      </c>
      <c r="AH217">
        <v>27</v>
      </c>
      <c r="AI217">
        <v>3</v>
      </c>
      <c r="AJ217">
        <v>41</v>
      </c>
      <c r="AK217">
        <v>26</v>
      </c>
      <c r="AL217">
        <v>10</v>
      </c>
      <c r="AM217">
        <v>16</v>
      </c>
      <c r="AN217">
        <v>16</v>
      </c>
      <c r="AO217">
        <v>18</v>
      </c>
      <c r="AP217">
        <v>9</v>
      </c>
      <c r="AQ217">
        <v>4</v>
      </c>
      <c r="AR217">
        <v>22</v>
      </c>
      <c r="AS217">
        <v>7</v>
      </c>
      <c r="AT217">
        <v>23</v>
      </c>
      <c r="AU217">
        <v>46</v>
      </c>
      <c r="AV217">
        <v>25</v>
      </c>
      <c r="AW217">
        <v>35</v>
      </c>
      <c r="AX217">
        <v>2</v>
      </c>
      <c r="AY217">
        <v>22</v>
      </c>
      <c r="AZ217">
        <v>6</v>
      </c>
      <c r="BA217">
        <v>25</v>
      </c>
      <c r="BB217">
        <v>20</v>
      </c>
      <c r="BC217">
        <v>32</v>
      </c>
      <c r="BD217">
        <v>0</v>
      </c>
      <c r="BE217">
        <v>33</v>
      </c>
      <c r="BF217">
        <v>147397</v>
      </c>
      <c r="BG217">
        <v>6391</v>
      </c>
    </row>
    <row r="218" spans="1:59" x14ac:dyDescent="0.3">
      <c r="A218" s="3">
        <v>45508</v>
      </c>
      <c r="B218" t="s">
        <v>67</v>
      </c>
      <c r="C218">
        <v>8</v>
      </c>
      <c r="D218">
        <v>905</v>
      </c>
      <c r="E218">
        <v>747</v>
      </c>
      <c r="F218">
        <v>47</v>
      </c>
      <c r="G218">
        <v>35</v>
      </c>
      <c r="H218">
        <v>47</v>
      </c>
      <c r="I218">
        <v>34</v>
      </c>
      <c r="J218">
        <v>47</v>
      </c>
      <c r="K218">
        <v>41</v>
      </c>
      <c r="L218">
        <v>19</v>
      </c>
      <c r="M218">
        <v>15</v>
      </c>
      <c r="N218">
        <v>44</v>
      </c>
      <c r="O218">
        <v>35</v>
      </c>
      <c r="P218">
        <v>34</v>
      </c>
      <c r="Q218">
        <v>23</v>
      </c>
      <c r="R218">
        <v>23</v>
      </c>
      <c r="S218">
        <v>41</v>
      </c>
      <c r="T218">
        <v>10</v>
      </c>
      <c r="U218">
        <v>4</v>
      </c>
      <c r="V218">
        <v>9</v>
      </c>
      <c r="W218">
        <v>19</v>
      </c>
      <c r="X218">
        <v>17</v>
      </c>
      <c r="Y218">
        <v>29</v>
      </c>
      <c r="Z218">
        <v>32</v>
      </c>
      <c r="AA218">
        <v>8</v>
      </c>
      <c r="AB218">
        <v>1</v>
      </c>
      <c r="AC218">
        <v>15</v>
      </c>
      <c r="AD218">
        <v>24</v>
      </c>
      <c r="AE218">
        <v>30</v>
      </c>
      <c r="AF218">
        <v>30</v>
      </c>
      <c r="AG218">
        <v>25</v>
      </c>
      <c r="AH218">
        <v>9</v>
      </c>
      <c r="AI218">
        <v>15</v>
      </c>
      <c r="AJ218">
        <v>7</v>
      </c>
      <c r="AK218">
        <v>33</v>
      </c>
      <c r="AL218">
        <v>39</v>
      </c>
      <c r="AM218">
        <v>2</v>
      </c>
      <c r="AN218">
        <v>21</v>
      </c>
      <c r="AO218">
        <v>1</v>
      </c>
      <c r="AP218">
        <v>7</v>
      </c>
      <c r="AQ218">
        <v>4</v>
      </c>
      <c r="AR218">
        <v>32</v>
      </c>
      <c r="AS218">
        <v>47</v>
      </c>
      <c r="AT218">
        <v>37</v>
      </c>
      <c r="AU218">
        <v>33</v>
      </c>
      <c r="AV218">
        <v>45</v>
      </c>
      <c r="AW218">
        <v>17</v>
      </c>
      <c r="AX218">
        <v>39</v>
      </c>
      <c r="AY218">
        <v>32</v>
      </c>
      <c r="AZ218">
        <v>12</v>
      </c>
      <c r="BA218">
        <v>30</v>
      </c>
      <c r="BB218">
        <v>15</v>
      </c>
      <c r="BC218">
        <v>22</v>
      </c>
      <c r="BD218">
        <v>20</v>
      </c>
      <c r="BE218">
        <v>36</v>
      </c>
      <c r="BF218">
        <v>147947</v>
      </c>
      <c r="BG218">
        <v>6403</v>
      </c>
    </row>
    <row r="219" spans="1:59" x14ac:dyDescent="0.3">
      <c r="A219" s="3">
        <v>45509</v>
      </c>
      <c r="B219" t="s">
        <v>67</v>
      </c>
      <c r="C219">
        <v>8</v>
      </c>
      <c r="D219">
        <v>906</v>
      </c>
      <c r="E219">
        <v>748</v>
      </c>
      <c r="F219">
        <v>27</v>
      </c>
      <c r="G219">
        <v>26</v>
      </c>
      <c r="H219">
        <v>8</v>
      </c>
      <c r="I219">
        <v>3</v>
      </c>
      <c r="J219">
        <v>26</v>
      </c>
      <c r="K219">
        <v>24</v>
      </c>
      <c r="L219">
        <v>44</v>
      </c>
      <c r="M219">
        <v>4</v>
      </c>
      <c r="N219">
        <v>37</v>
      </c>
      <c r="O219">
        <v>20</v>
      </c>
      <c r="P219">
        <v>30</v>
      </c>
      <c r="Q219">
        <v>14</v>
      </c>
      <c r="R219">
        <v>29</v>
      </c>
      <c r="S219">
        <v>16</v>
      </c>
      <c r="T219">
        <v>41</v>
      </c>
      <c r="U219">
        <v>25</v>
      </c>
      <c r="V219">
        <v>18</v>
      </c>
      <c r="W219">
        <v>33</v>
      </c>
      <c r="X219">
        <v>37</v>
      </c>
      <c r="Y219">
        <v>15</v>
      </c>
      <c r="Z219">
        <v>28</v>
      </c>
      <c r="AA219">
        <v>12</v>
      </c>
      <c r="AB219">
        <v>13</v>
      </c>
      <c r="AC219">
        <v>37</v>
      </c>
      <c r="AD219">
        <v>40</v>
      </c>
      <c r="AE219">
        <v>8</v>
      </c>
      <c r="AF219">
        <v>29</v>
      </c>
      <c r="AG219">
        <v>28</v>
      </c>
      <c r="AH219">
        <v>16</v>
      </c>
      <c r="AI219">
        <v>32</v>
      </c>
      <c r="AJ219">
        <v>16</v>
      </c>
      <c r="AK219">
        <v>42</v>
      </c>
      <c r="AL219">
        <v>23</v>
      </c>
      <c r="AM219">
        <v>23</v>
      </c>
      <c r="AN219">
        <v>4</v>
      </c>
      <c r="AO219">
        <v>43</v>
      </c>
      <c r="AP219">
        <v>35</v>
      </c>
      <c r="AQ219">
        <v>8</v>
      </c>
      <c r="AR219">
        <v>32</v>
      </c>
      <c r="AS219">
        <v>0</v>
      </c>
      <c r="AT219">
        <v>33</v>
      </c>
      <c r="AU219">
        <v>31</v>
      </c>
      <c r="AV219">
        <v>34</v>
      </c>
      <c r="AW219">
        <v>48</v>
      </c>
      <c r="AX219">
        <v>42</v>
      </c>
      <c r="AY219">
        <v>20</v>
      </c>
      <c r="AZ219">
        <v>19</v>
      </c>
      <c r="BA219">
        <v>45</v>
      </c>
      <c r="BB219">
        <v>22</v>
      </c>
      <c r="BC219">
        <v>24</v>
      </c>
      <c r="BD219">
        <v>2</v>
      </c>
      <c r="BE219">
        <v>33</v>
      </c>
      <c r="BF219">
        <v>148498</v>
      </c>
      <c r="BG219">
        <v>6415</v>
      </c>
    </row>
    <row r="220" spans="1:59" x14ac:dyDescent="0.3">
      <c r="A220" s="3">
        <v>45510</v>
      </c>
      <c r="B220" t="s">
        <v>67</v>
      </c>
      <c r="C220">
        <v>8</v>
      </c>
      <c r="D220">
        <v>908</v>
      </c>
      <c r="E220">
        <v>749</v>
      </c>
      <c r="F220">
        <v>4</v>
      </c>
      <c r="G220">
        <v>31</v>
      </c>
      <c r="H220">
        <v>23</v>
      </c>
      <c r="I220">
        <v>40</v>
      </c>
      <c r="J220">
        <v>35</v>
      </c>
      <c r="K220">
        <v>35</v>
      </c>
      <c r="L220">
        <v>11</v>
      </c>
      <c r="M220">
        <v>11</v>
      </c>
      <c r="N220">
        <v>2</v>
      </c>
      <c r="O220">
        <v>26</v>
      </c>
      <c r="P220">
        <v>45</v>
      </c>
      <c r="Q220">
        <v>28</v>
      </c>
      <c r="R220">
        <v>44</v>
      </c>
      <c r="S220">
        <v>28</v>
      </c>
      <c r="T220">
        <v>25</v>
      </c>
      <c r="U220">
        <v>20</v>
      </c>
      <c r="V220">
        <v>11</v>
      </c>
      <c r="W220">
        <v>24</v>
      </c>
      <c r="X220">
        <v>1</v>
      </c>
      <c r="Y220">
        <v>48</v>
      </c>
      <c r="Z220">
        <v>16</v>
      </c>
      <c r="AA220">
        <v>27</v>
      </c>
      <c r="AB220">
        <v>39</v>
      </c>
      <c r="AC220">
        <v>47</v>
      </c>
      <c r="AD220">
        <v>44</v>
      </c>
      <c r="AE220">
        <v>19</v>
      </c>
      <c r="AF220">
        <v>20</v>
      </c>
      <c r="AG220">
        <v>23</v>
      </c>
      <c r="AH220">
        <v>38</v>
      </c>
      <c r="AI220">
        <v>30</v>
      </c>
      <c r="AJ220">
        <v>2</v>
      </c>
      <c r="AK220">
        <v>48</v>
      </c>
      <c r="AL220">
        <v>49</v>
      </c>
      <c r="AM220">
        <v>32</v>
      </c>
      <c r="AN220">
        <v>23</v>
      </c>
      <c r="AO220">
        <v>5</v>
      </c>
      <c r="AP220">
        <v>28</v>
      </c>
      <c r="AQ220">
        <v>10</v>
      </c>
      <c r="AR220">
        <v>15</v>
      </c>
      <c r="AS220">
        <v>27</v>
      </c>
      <c r="AT220">
        <v>35</v>
      </c>
      <c r="AU220">
        <v>12</v>
      </c>
      <c r="AV220">
        <v>2</v>
      </c>
      <c r="AW220">
        <v>24</v>
      </c>
      <c r="AX220">
        <v>26</v>
      </c>
      <c r="AY220">
        <v>13</v>
      </c>
      <c r="AZ220">
        <v>25</v>
      </c>
      <c r="BA220">
        <v>39</v>
      </c>
      <c r="BB220">
        <v>49</v>
      </c>
      <c r="BC220">
        <v>41</v>
      </c>
      <c r="BD220">
        <v>23</v>
      </c>
      <c r="BE220">
        <v>0</v>
      </c>
      <c r="BF220">
        <v>149049</v>
      </c>
      <c r="BG220">
        <v>6427</v>
      </c>
    </row>
    <row r="221" spans="1:59" x14ac:dyDescent="0.3">
      <c r="A221" s="3">
        <v>45511</v>
      </c>
      <c r="B221" t="s">
        <v>67</v>
      </c>
      <c r="C221">
        <v>8</v>
      </c>
      <c r="D221">
        <v>910</v>
      </c>
      <c r="E221">
        <v>750</v>
      </c>
      <c r="F221">
        <v>32</v>
      </c>
      <c r="G221">
        <v>21</v>
      </c>
      <c r="H221">
        <v>21</v>
      </c>
      <c r="I221">
        <v>21</v>
      </c>
      <c r="J221">
        <v>45</v>
      </c>
      <c r="K221">
        <v>25</v>
      </c>
      <c r="L221">
        <v>41</v>
      </c>
      <c r="M221">
        <v>29</v>
      </c>
      <c r="N221">
        <v>16</v>
      </c>
      <c r="O221">
        <v>1</v>
      </c>
      <c r="P221">
        <v>40</v>
      </c>
      <c r="Q221">
        <v>27</v>
      </c>
      <c r="R221">
        <v>7</v>
      </c>
      <c r="S221">
        <v>21</v>
      </c>
      <c r="T221">
        <v>31</v>
      </c>
      <c r="U221">
        <v>8</v>
      </c>
      <c r="V221">
        <v>6</v>
      </c>
      <c r="W221">
        <v>15</v>
      </c>
      <c r="X221">
        <v>29</v>
      </c>
      <c r="Y221">
        <v>22</v>
      </c>
      <c r="Z221">
        <v>17</v>
      </c>
      <c r="AA221">
        <v>33</v>
      </c>
      <c r="AB221">
        <v>41</v>
      </c>
      <c r="AC221">
        <v>25</v>
      </c>
      <c r="AD221">
        <v>37</v>
      </c>
      <c r="AE221">
        <v>29</v>
      </c>
      <c r="AF221">
        <v>27</v>
      </c>
      <c r="AG221">
        <v>44</v>
      </c>
      <c r="AH221">
        <v>32</v>
      </c>
      <c r="AI221">
        <v>35</v>
      </c>
      <c r="AJ221">
        <v>22</v>
      </c>
      <c r="AK221">
        <v>44</v>
      </c>
      <c r="AL221">
        <v>14</v>
      </c>
      <c r="AM221">
        <v>16</v>
      </c>
      <c r="AN221">
        <v>0</v>
      </c>
      <c r="AO221">
        <v>26</v>
      </c>
      <c r="AP221">
        <v>47</v>
      </c>
      <c r="AQ221">
        <v>33</v>
      </c>
      <c r="AR221">
        <v>33</v>
      </c>
      <c r="AS221">
        <v>49</v>
      </c>
      <c r="AT221">
        <v>9</v>
      </c>
      <c r="AU221">
        <v>5</v>
      </c>
      <c r="AV221">
        <v>46</v>
      </c>
      <c r="AW221">
        <v>27</v>
      </c>
      <c r="AX221">
        <v>5</v>
      </c>
      <c r="AY221">
        <v>21</v>
      </c>
      <c r="AZ221">
        <v>32</v>
      </c>
      <c r="BA221">
        <v>33</v>
      </c>
      <c r="BB221">
        <v>43</v>
      </c>
      <c r="BC221">
        <v>25</v>
      </c>
      <c r="BD221">
        <v>16</v>
      </c>
      <c r="BE221">
        <v>42</v>
      </c>
      <c r="BF221">
        <v>149600</v>
      </c>
      <c r="BG221">
        <v>6440</v>
      </c>
    </row>
    <row r="222" spans="1:59" x14ac:dyDescent="0.3">
      <c r="A222" s="3">
        <v>45512</v>
      </c>
      <c r="B222" t="s">
        <v>67</v>
      </c>
      <c r="C222">
        <v>8</v>
      </c>
      <c r="D222">
        <v>911</v>
      </c>
      <c r="E222">
        <v>750</v>
      </c>
      <c r="F222">
        <v>7</v>
      </c>
      <c r="G222">
        <v>4</v>
      </c>
      <c r="H222">
        <v>7</v>
      </c>
      <c r="I222">
        <v>20</v>
      </c>
      <c r="J222">
        <v>48</v>
      </c>
      <c r="K222">
        <v>30</v>
      </c>
      <c r="L222">
        <v>22</v>
      </c>
      <c r="M222">
        <v>30</v>
      </c>
      <c r="N222">
        <v>21</v>
      </c>
      <c r="O222">
        <v>46</v>
      </c>
      <c r="P222">
        <v>4</v>
      </c>
      <c r="Q222">
        <v>12</v>
      </c>
      <c r="R222">
        <v>9</v>
      </c>
      <c r="S222">
        <v>39</v>
      </c>
      <c r="T222">
        <v>6</v>
      </c>
      <c r="U222">
        <v>33</v>
      </c>
      <c r="V222">
        <v>44</v>
      </c>
      <c r="W222">
        <v>11</v>
      </c>
      <c r="X222">
        <v>29</v>
      </c>
      <c r="Y222">
        <v>35</v>
      </c>
      <c r="Z222">
        <v>21</v>
      </c>
      <c r="AA222">
        <v>31</v>
      </c>
      <c r="AB222">
        <v>14</v>
      </c>
      <c r="AC222">
        <v>29</v>
      </c>
      <c r="AD222">
        <v>40</v>
      </c>
      <c r="AE222">
        <v>42</v>
      </c>
      <c r="AF222">
        <v>35</v>
      </c>
      <c r="AG222">
        <v>39</v>
      </c>
      <c r="AH222">
        <v>42</v>
      </c>
      <c r="AI222">
        <v>41</v>
      </c>
      <c r="AJ222">
        <v>2</v>
      </c>
      <c r="AK222">
        <v>46</v>
      </c>
      <c r="AL222">
        <v>17</v>
      </c>
      <c r="AM222">
        <v>48</v>
      </c>
      <c r="AN222">
        <v>44</v>
      </c>
      <c r="AO222">
        <v>49</v>
      </c>
      <c r="AP222">
        <v>0</v>
      </c>
      <c r="AQ222">
        <v>33</v>
      </c>
      <c r="AR222">
        <v>6</v>
      </c>
      <c r="AS222">
        <v>18</v>
      </c>
      <c r="AT222">
        <v>15</v>
      </c>
      <c r="AU222">
        <v>1</v>
      </c>
      <c r="AV222">
        <v>29</v>
      </c>
      <c r="AW222">
        <v>25</v>
      </c>
      <c r="AX222">
        <v>21</v>
      </c>
      <c r="AY222">
        <v>5</v>
      </c>
      <c r="AZ222">
        <v>43</v>
      </c>
      <c r="BA222">
        <v>9</v>
      </c>
      <c r="BB222">
        <v>43</v>
      </c>
      <c r="BC222">
        <v>44</v>
      </c>
      <c r="BD222">
        <v>4</v>
      </c>
      <c r="BE222">
        <v>36</v>
      </c>
      <c r="BF222">
        <v>150150</v>
      </c>
      <c r="BG222">
        <v>6452</v>
      </c>
    </row>
    <row r="223" spans="1:59" x14ac:dyDescent="0.3">
      <c r="A223" s="3">
        <v>45513</v>
      </c>
      <c r="B223" t="s">
        <v>67</v>
      </c>
      <c r="C223">
        <v>8</v>
      </c>
      <c r="D223">
        <v>913</v>
      </c>
      <c r="E223">
        <v>751</v>
      </c>
      <c r="F223">
        <v>1</v>
      </c>
      <c r="G223">
        <v>3</v>
      </c>
      <c r="H223">
        <v>40</v>
      </c>
      <c r="I223">
        <v>28</v>
      </c>
      <c r="J223">
        <v>25</v>
      </c>
      <c r="K223">
        <v>36</v>
      </c>
      <c r="L223">
        <v>22</v>
      </c>
      <c r="M223">
        <v>1</v>
      </c>
      <c r="N223">
        <v>5</v>
      </c>
      <c r="O223">
        <v>30</v>
      </c>
      <c r="P223">
        <v>4</v>
      </c>
      <c r="Q223">
        <v>22</v>
      </c>
      <c r="R223">
        <v>33</v>
      </c>
      <c r="S223">
        <v>25</v>
      </c>
      <c r="T223">
        <v>4</v>
      </c>
      <c r="U223">
        <v>22</v>
      </c>
      <c r="V223">
        <v>43</v>
      </c>
      <c r="W223">
        <v>10</v>
      </c>
      <c r="X223">
        <v>21</v>
      </c>
      <c r="Y223">
        <v>36</v>
      </c>
      <c r="Z223">
        <v>42</v>
      </c>
      <c r="AA223">
        <v>31</v>
      </c>
      <c r="AB223">
        <v>36</v>
      </c>
      <c r="AC223">
        <v>41</v>
      </c>
      <c r="AD223">
        <v>28</v>
      </c>
      <c r="AE223">
        <v>36</v>
      </c>
      <c r="AF223">
        <v>15</v>
      </c>
      <c r="AG223">
        <v>35</v>
      </c>
      <c r="AH223">
        <v>7</v>
      </c>
      <c r="AI223">
        <v>36</v>
      </c>
      <c r="AJ223">
        <v>34</v>
      </c>
      <c r="AK223">
        <v>31</v>
      </c>
      <c r="AL223">
        <v>32</v>
      </c>
      <c r="AM223">
        <v>12</v>
      </c>
      <c r="AN223">
        <v>5</v>
      </c>
      <c r="AO223">
        <v>19</v>
      </c>
      <c r="AP223">
        <v>47</v>
      </c>
      <c r="AQ223">
        <v>44</v>
      </c>
      <c r="AR223">
        <v>43</v>
      </c>
      <c r="AS223">
        <v>34</v>
      </c>
      <c r="AT223">
        <v>34</v>
      </c>
      <c r="AU223">
        <v>0</v>
      </c>
      <c r="AV223">
        <v>29</v>
      </c>
      <c r="AW223">
        <v>18</v>
      </c>
      <c r="AX223">
        <v>20</v>
      </c>
      <c r="AY223">
        <v>2</v>
      </c>
      <c r="AZ223">
        <v>47</v>
      </c>
      <c r="BA223">
        <v>17</v>
      </c>
      <c r="BB223">
        <v>33</v>
      </c>
      <c r="BC223">
        <v>7</v>
      </c>
      <c r="BD223">
        <v>3</v>
      </c>
      <c r="BE223">
        <v>22</v>
      </c>
      <c r="BF223">
        <v>150701</v>
      </c>
      <c r="BG223">
        <v>6464</v>
      </c>
    </row>
    <row r="224" spans="1:59" x14ac:dyDescent="0.3">
      <c r="A224" s="3">
        <v>45514</v>
      </c>
      <c r="B224" t="s">
        <v>67</v>
      </c>
      <c r="C224">
        <v>8</v>
      </c>
      <c r="D224">
        <v>914</v>
      </c>
      <c r="E224">
        <v>752</v>
      </c>
      <c r="F224">
        <v>48</v>
      </c>
      <c r="G224">
        <v>16</v>
      </c>
      <c r="H224">
        <v>9</v>
      </c>
      <c r="I224">
        <v>1</v>
      </c>
      <c r="J224">
        <v>21</v>
      </c>
      <c r="K224">
        <v>49</v>
      </c>
      <c r="L224">
        <v>0</v>
      </c>
      <c r="M224">
        <v>46</v>
      </c>
      <c r="N224">
        <v>43</v>
      </c>
      <c r="O224">
        <v>6</v>
      </c>
      <c r="P224">
        <v>40</v>
      </c>
      <c r="Q224">
        <v>37</v>
      </c>
      <c r="R224">
        <v>27</v>
      </c>
      <c r="S224">
        <v>30</v>
      </c>
      <c r="T224">
        <v>48</v>
      </c>
      <c r="U224">
        <v>32</v>
      </c>
      <c r="V224">
        <v>20</v>
      </c>
      <c r="W224">
        <v>28</v>
      </c>
      <c r="X224">
        <v>24</v>
      </c>
      <c r="Y224">
        <v>27</v>
      </c>
      <c r="Z224">
        <v>49</v>
      </c>
      <c r="AA224">
        <v>24</v>
      </c>
      <c r="AB224">
        <v>34</v>
      </c>
      <c r="AC224">
        <v>21</v>
      </c>
      <c r="AD224">
        <v>46</v>
      </c>
      <c r="AE224">
        <v>37</v>
      </c>
      <c r="AF224">
        <v>15</v>
      </c>
      <c r="AG224">
        <v>38</v>
      </c>
      <c r="AH224">
        <v>4</v>
      </c>
      <c r="AI224">
        <v>13</v>
      </c>
      <c r="AJ224">
        <v>0</v>
      </c>
      <c r="AK224">
        <v>23</v>
      </c>
      <c r="AL224">
        <v>11</v>
      </c>
      <c r="AM224">
        <v>29</v>
      </c>
      <c r="AN224">
        <v>10</v>
      </c>
      <c r="AO224">
        <v>12</v>
      </c>
      <c r="AP224">
        <v>3</v>
      </c>
      <c r="AQ224">
        <v>0</v>
      </c>
      <c r="AR224">
        <v>21</v>
      </c>
      <c r="AS224">
        <v>49</v>
      </c>
      <c r="AT224">
        <v>28</v>
      </c>
      <c r="AU224">
        <v>23</v>
      </c>
      <c r="AV224">
        <v>44</v>
      </c>
      <c r="AW224">
        <v>39</v>
      </c>
      <c r="AX224">
        <v>9</v>
      </c>
      <c r="AY224">
        <v>49</v>
      </c>
      <c r="AZ224">
        <v>24</v>
      </c>
      <c r="BA224">
        <v>12</v>
      </c>
      <c r="BB224">
        <v>2</v>
      </c>
      <c r="BC224">
        <v>20</v>
      </c>
      <c r="BD224">
        <v>10</v>
      </c>
      <c r="BE224">
        <v>9</v>
      </c>
      <c r="BF224">
        <v>151252</v>
      </c>
      <c r="BG224">
        <v>6476</v>
      </c>
    </row>
    <row r="225" spans="1:59" x14ac:dyDescent="0.3">
      <c r="A225" s="3">
        <v>45515</v>
      </c>
      <c r="B225" t="s">
        <v>67</v>
      </c>
      <c r="C225">
        <v>8</v>
      </c>
      <c r="D225">
        <v>916</v>
      </c>
      <c r="E225">
        <v>752</v>
      </c>
      <c r="F225">
        <v>46</v>
      </c>
      <c r="G225">
        <v>0</v>
      </c>
      <c r="H225">
        <v>25</v>
      </c>
      <c r="I225">
        <v>21</v>
      </c>
      <c r="J225">
        <v>41</v>
      </c>
      <c r="K225">
        <v>28</v>
      </c>
      <c r="L225">
        <v>46</v>
      </c>
      <c r="M225">
        <v>35</v>
      </c>
      <c r="N225">
        <v>33</v>
      </c>
      <c r="O225">
        <v>32</v>
      </c>
      <c r="P225">
        <v>21</v>
      </c>
      <c r="Q225">
        <v>46</v>
      </c>
      <c r="R225">
        <v>5</v>
      </c>
      <c r="S225">
        <v>2</v>
      </c>
      <c r="T225">
        <v>40</v>
      </c>
      <c r="U225">
        <v>2</v>
      </c>
      <c r="V225">
        <v>18</v>
      </c>
      <c r="W225">
        <v>37</v>
      </c>
      <c r="X225">
        <v>0</v>
      </c>
      <c r="Y225">
        <v>2</v>
      </c>
      <c r="Z225">
        <v>47</v>
      </c>
      <c r="AA225">
        <v>38</v>
      </c>
      <c r="AB225">
        <v>37</v>
      </c>
      <c r="AC225">
        <v>10</v>
      </c>
      <c r="AD225">
        <v>2</v>
      </c>
      <c r="AE225">
        <v>8</v>
      </c>
      <c r="AF225">
        <v>0</v>
      </c>
      <c r="AG225">
        <v>30</v>
      </c>
      <c r="AH225">
        <v>40</v>
      </c>
      <c r="AI225">
        <v>29</v>
      </c>
      <c r="AJ225">
        <v>28</v>
      </c>
      <c r="AK225">
        <v>23</v>
      </c>
      <c r="AL225">
        <v>18</v>
      </c>
      <c r="AM225">
        <v>12</v>
      </c>
      <c r="AN225">
        <v>30</v>
      </c>
      <c r="AO225">
        <v>37</v>
      </c>
      <c r="AP225">
        <v>36</v>
      </c>
      <c r="AQ225">
        <v>18</v>
      </c>
      <c r="AR225">
        <v>35</v>
      </c>
      <c r="AS225">
        <v>38</v>
      </c>
      <c r="AT225">
        <v>49</v>
      </c>
      <c r="AU225">
        <v>5</v>
      </c>
      <c r="AV225">
        <v>35</v>
      </c>
      <c r="AW225">
        <v>33</v>
      </c>
      <c r="AX225">
        <v>25</v>
      </c>
      <c r="AY225">
        <v>44</v>
      </c>
      <c r="AZ225">
        <v>42</v>
      </c>
      <c r="BA225">
        <v>4</v>
      </c>
      <c r="BB225">
        <v>14</v>
      </c>
      <c r="BC225">
        <v>13</v>
      </c>
      <c r="BD225">
        <v>41</v>
      </c>
      <c r="BE225">
        <v>46</v>
      </c>
      <c r="BF225">
        <v>151802</v>
      </c>
      <c r="BG225">
        <v>6488</v>
      </c>
    </row>
    <row r="226" spans="1:59" x14ac:dyDescent="0.3">
      <c r="A226" s="3">
        <v>45516</v>
      </c>
      <c r="B226" t="s">
        <v>67</v>
      </c>
      <c r="C226">
        <v>8</v>
      </c>
      <c r="D226">
        <v>918</v>
      </c>
      <c r="E226">
        <v>753</v>
      </c>
      <c r="F226">
        <v>19</v>
      </c>
      <c r="G226">
        <v>4</v>
      </c>
      <c r="H226">
        <v>46</v>
      </c>
      <c r="I226">
        <v>33</v>
      </c>
      <c r="J226">
        <v>37</v>
      </c>
      <c r="K226">
        <v>22</v>
      </c>
      <c r="L226">
        <v>35</v>
      </c>
      <c r="M226">
        <v>2</v>
      </c>
      <c r="N226">
        <v>11</v>
      </c>
      <c r="O226">
        <v>0</v>
      </c>
      <c r="P226">
        <v>21</v>
      </c>
      <c r="Q226">
        <v>38</v>
      </c>
      <c r="R226">
        <v>24</v>
      </c>
      <c r="S226">
        <v>12</v>
      </c>
      <c r="T226">
        <v>29</v>
      </c>
      <c r="U226">
        <v>12</v>
      </c>
      <c r="V226">
        <v>7</v>
      </c>
      <c r="W226">
        <v>33</v>
      </c>
      <c r="X226">
        <v>45</v>
      </c>
      <c r="Y226">
        <v>38</v>
      </c>
      <c r="Z226">
        <v>20</v>
      </c>
      <c r="AA226">
        <v>34</v>
      </c>
      <c r="AB226">
        <v>12</v>
      </c>
      <c r="AC226">
        <v>19</v>
      </c>
      <c r="AD226">
        <v>29</v>
      </c>
      <c r="AE226">
        <v>44</v>
      </c>
      <c r="AF226">
        <v>44</v>
      </c>
      <c r="AG226">
        <v>41</v>
      </c>
      <c r="AH226">
        <v>13</v>
      </c>
      <c r="AI226">
        <v>38</v>
      </c>
      <c r="AJ226">
        <v>38</v>
      </c>
      <c r="AK226">
        <v>35</v>
      </c>
      <c r="AL226">
        <v>43</v>
      </c>
      <c r="AM226">
        <v>8</v>
      </c>
      <c r="AN226">
        <v>15</v>
      </c>
      <c r="AO226">
        <v>46</v>
      </c>
      <c r="AP226">
        <v>16</v>
      </c>
      <c r="AQ226">
        <v>11</v>
      </c>
      <c r="AR226">
        <v>36</v>
      </c>
      <c r="AS226">
        <v>15</v>
      </c>
      <c r="AT226">
        <v>15</v>
      </c>
      <c r="AU226">
        <v>3</v>
      </c>
      <c r="AV226">
        <v>21</v>
      </c>
      <c r="AW226">
        <v>35</v>
      </c>
      <c r="AX226">
        <v>27</v>
      </c>
      <c r="AY226">
        <v>25</v>
      </c>
      <c r="AZ226">
        <v>36</v>
      </c>
      <c r="BA226">
        <v>19</v>
      </c>
      <c r="BB226">
        <v>16</v>
      </c>
      <c r="BC226">
        <v>23</v>
      </c>
      <c r="BD226">
        <v>31</v>
      </c>
      <c r="BE226">
        <v>45</v>
      </c>
      <c r="BF226">
        <v>152353</v>
      </c>
      <c r="BG226">
        <v>6500</v>
      </c>
    </row>
    <row r="227" spans="1:59" x14ac:dyDescent="0.3">
      <c r="A227" s="3">
        <v>45517</v>
      </c>
      <c r="B227" t="s">
        <v>67</v>
      </c>
      <c r="C227">
        <v>8</v>
      </c>
      <c r="D227">
        <v>919</v>
      </c>
      <c r="E227">
        <v>754</v>
      </c>
      <c r="F227">
        <v>29</v>
      </c>
      <c r="G227">
        <v>49</v>
      </c>
      <c r="H227">
        <v>45</v>
      </c>
      <c r="I227">
        <v>27</v>
      </c>
      <c r="J227">
        <v>12</v>
      </c>
      <c r="K227">
        <v>28</v>
      </c>
      <c r="L227">
        <v>35</v>
      </c>
      <c r="M227">
        <v>21</v>
      </c>
      <c r="N227">
        <v>21</v>
      </c>
      <c r="O227">
        <v>13</v>
      </c>
      <c r="P227">
        <v>12</v>
      </c>
      <c r="Q227">
        <v>4</v>
      </c>
      <c r="R227">
        <v>29</v>
      </c>
      <c r="S227">
        <v>14</v>
      </c>
      <c r="T227">
        <v>19</v>
      </c>
      <c r="U227">
        <v>36</v>
      </c>
      <c r="V227">
        <v>20</v>
      </c>
      <c r="W227">
        <v>41</v>
      </c>
      <c r="X227">
        <v>3</v>
      </c>
      <c r="Y227">
        <v>28</v>
      </c>
      <c r="Z227">
        <v>5</v>
      </c>
      <c r="AA227">
        <v>38</v>
      </c>
      <c r="AB227">
        <v>30</v>
      </c>
      <c r="AC227">
        <v>17</v>
      </c>
      <c r="AD227">
        <v>32</v>
      </c>
      <c r="AE227">
        <v>29</v>
      </c>
      <c r="AF227">
        <v>44</v>
      </c>
      <c r="AG227">
        <v>12</v>
      </c>
      <c r="AH227">
        <v>40</v>
      </c>
      <c r="AI227">
        <v>22</v>
      </c>
      <c r="AJ227">
        <v>16</v>
      </c>
      <c r="AK227">
        <v>39</v>
      </c>
      <c r="AL227">
        <v>8</v>
      </c>
      <c r="AM227">
        <v>34</v>
      </c>
      <c r="AN227">
        <v>5</v>
      </c>
      <c r="AO227">
        <v>40</v>
      </c>
      <c r="AP227">
        <v>44</v>
      </c>
      <c r="AQ227">
        <v>7</v>
      </c>
      <c r="AR227">
        <v>42</v>
      </c>
      <c r="AS227">
        <v>25</v>
      </c>
      <c r="AT227">
        <v>31</v>
      </c>
      <c r="AU227">
        <v>37</v>
      </c>
      <c r="AV227">
        <v>38</v>
      </c>
      <c r="AW227">
        <v>23</v>
      </c>
      <c r="AX227">
        <v>17</v>
      </c>
      <c r="AY227">
        <v>4</v>
      </c>
      <c r="AZ227">
        <v>26</v>
      </c>
      <c r="BA227">
        <v>23</v>
      </c>
      <c r="BB227">
        <v>26</v>
      </c>
      <c r="BC227">
        <v>45</v>
      </c>
      <c r="BD227">
        <v>30</v>
      </c>
      <c r="BE227">
        <v>30</v>
      </c>
      <c r="BF227">
        <v>152904</v>
      </c>
      <c r="BG227">
        <v>6512</v>
      </c>
    </row>
    <row r="228" spans="1:59" x14ac:dyDescent="0.3">
      <c r="A228" s="3">
        <v>45518</v>
      </c>
      <c r="B228" t="s">
        <v>67</v>
      </c>
      <c r="C228">
        <v>8</v>
      </c>
      <c r="D228">
        <v>921</v>
      </c>
      <c r="E228">
        <v>754</v>
      </c>
      <c r="F228">
        <v>34</v>
      </c>
      <c r="G228">
        <v>38</v>
      </c>
      <c r="H228">
        <v>1</v>
      </c>
      <c r="I228">
        <v>33</v>
      </c>
      <c r="J228">
        <v>48</v>
      </c>
      <c r="K228">
        <v>30</v>
      </c>
      <c r="L228">
        <v>3</v>
      </c>
      <c r="M228">
        <v>23</v>
      </c>
      <c r="N228">
        <v>17</v>
      </c>
      <c r="O228">
        <v>17</v>
      </c>
      <c r="P228">
        <v>6</v>
      </c>
      <c r="Q228">
        <v>11</v>
      </c>
      <c r="R228">
        <v>34</v>
      </c>
      <c r="S228">
        <v>45</v>
      </c>
      <c r="T228">
        <v>30</v>
      </c>
      <c r="U228">
        <v>0</v>
      </c>
      <c r="V228">
        <v>9</v>
      </c>
      <c r="W228">
        <v>13</v>
      </c>
      <c r="X228">
        <v>47</v>
      </c>
      <c r="Y228">
        <v>49</v>
      </c>
      <c r="Z228">
        <v>20</v>
      </c>
      <c r="AA228">
        <v>45</v>
      </c>
      <c r="AB228">
        <v>24</v>
      </c>
      <c r="AC228">
        <v>15</v>
      </c>
      <c r="AD228">
        <v>34</v>
      </c>
      <c r="AE228">
        <v>42</v>
      </c>
      <c r="AF228">
        <v>6</v>
      </c>
      <c r="AG228">
        <v>7</v>
      </c>
      <c r="AH228">
        <v>12</v>
      </c>
      <c r="AI228">
        <v>48</v>
      </c>
      <c r="AJ228">
        <v>1</v>
      </c>
      <c r="AK228">
        <v>7</v>
      </c>
      <c r="AL228">
        <v>38</v>
      </c>
      <c r="AM228">
        <v>3</v>
      </c>
      <c r="AN228">
        <v>38</v>
      </c>
      <c r="AO228">
        <v>29</v>
      </c>
      <c r="AP228">
        <v>34</v>
      </c>
      <c r="AQ228">
        <v>40</v>
      </c>
      <c r="AR228">
        <v>8</v>
      </c>
      <c r="AS228">
        <v>0</v>
      </c>
      <c r="AT228">
        <v>44</v>
      </c>
      <c r="AU228">
        <v>39</v>
      </c>
      <c r="AV228">
        <v>31</v>
      </c>
      <c r="AW228">
        <v>19</v>
      </c>
      <c r="AX228">
        <v>37</v>
      </c>
      <c r="AY228">
        <v>23</v>
      </c>
      <c r="AZ228">
        <v>48</v>
      </c>
      <c r="BA228">
        <v>16</v>
      </c>
      <c r="BB228">
        <v>28</v>
      </c>
      <c r="BC228">
        <v>37</v>
      </c>
      <c r="BD228">
        <v>25</v>
      </c>
      <c r="BE228">
        <v>7</v>
      </c>
      <c r="BF228">
        <v>153454</v>
      </c>
      <c r="BG228">
        <v>6524</v>
      </c>
    </row>
    <row r="229" spans="1:59" x14ac:dyDescent="0.3">
      <c r="A229" s="3">
        <v>45519</v>
      </c>
      <c r="B229" t="s">
        <v>67</v>
      </c>
      <c r="C229">
        <v>8</v>
      </c>
      <c r="D229">
        <v>923</v>
      </c>
      <c r="E229">
        <v>755</v>
      </c>
      <c r="F229">
        <v>5</v>
      </c>
      <c r="G229">
        <v>31</v>
      </c>
      <c r="H229">
        <v>47</v>
      </c>
      <c r="I229">
        <v>7</v>
      </c>
      <c r="J229">
        <v>24</v>
      </c>
      <c r="K229">
        <v>33</v>
      </c>
      <c r="L229">
        <v>43</v>
      </c>
      <c r="M229">
        <v>32</v>
      </c>
      <c r="N229">
        <v>42</v>
      </c>
      <c r="O229">
        <v>30</v>
      </c>
      <c r="P229">
        <v>33</v>
      </c>
      <c r="Q229">
        <v>22</v>
      </c>
      <c r="R229">
        <v>45</v>
      </c>
      <c r="S229">
        <v>6</v>
      </c>
      <c r="T229">
        <v>43</v>
      </c>
      <c r="U229">
        <v>18</v>
      </c>
      <c r="V229">
        <v>48</v>
      </c>
      <c r="W229">
        <v>12</v>
      </c>
      <c r="X229">
        <v>1</v>
      </c>
      <c r="Y229">
        <v>20</v>
      </c>
      <c r="Z229">
        <v>38</v>
      </c>
      <c r="AA229">
        <v>0</v>
      </c>
      <c r="AB229">
        <v>22</v>
      </c>
      <c r="AC229">
        <v>31</v>
      </c>
      <c r="AD229">
        <v>39</v>
      </c>
      <c r="AE229">
        <v>7</v>
      </c>
      <c r="AF229">
        <v>37</v>
      </c>
      <c r="AG229">
        <v>0</v>
      </c>
      <c r="AH229">
        <v>33</v>
      </c>
      <c r="AI229">
        <v>15</v>
      </c>
      <c r="AJ229">
        <v>27</v>
      </c>
      <c r="AK229">
        <v>11</v>
      </c>
      <c r="AL229">
        <v>18</v>
      </c>
      <c r="AM229">
        <v>1</v>
      </c>
      <c r="AN229">
        <v>33</v>
      </c>
      <c r="AO229">
        <v>21</v>
      </c>
      <c r="AP229">
        <v>20</v>
      </c>
      <c r="AQ229">
        <v>14</v>
      </c>
      <c r="AR229">
        <v>42</v>
      </c>
      <c r="AS229">
        <v>42</v>
      </c>
      <c r="AT229">
        <v>43</v>
      </c>
      <c r="AU229">
        <v>15</v>
      </c>
      <c r="AV229">
        <v>7</v>
      </c>
      <c r="AW229">
        <v>7</v>
      </c>
      <c r="AX229">
        <v>40</v>
      </c>
      <c r="AY229">
        <v>45</v>
      </c>
      <c r="AZ229">
        <v>12</v>
      </c>
      <c r="BA229">
        <v>20</v>
      </c>
      <c r="BB229">
        <v>2</v>
      </c>
      <c r="BC229">
        <v>48</v>
      </c>
      <c r="BD229">
        <v>15</v>
      </c>
      <c r="BE229">
        <v>0</v>
      </c>
      <c r="BF229">
        <v>154005</v>
      </c>
      <c r="BG229">
        <v>6536</v>
      </c>
    </row>
    <row r="230" spans="1:59" x14ac:dyDescent="0.3">
      <c r="A230" s="3">
        <v>45520</v>
      </c>
      <c r="B230" t="s">
        <v>67</v>
      </c>
      <c r="C230">
        <v>8</v>
      </c>
      <c r="D230">
        <v>924</v>
      </c>
      <c r="E230">
        <v>756</v>
      </c>
      <c r="F230">
        <v>7</v>
      </c>
      <c r="G230">
        <v>49</v>
      </c>
      <c r="H230">
        <v>32</v>
      </c>
      <c r="I230">
        <v>18</v>
      </c>
      <c r="J230">
        <v>5</v>
      </c>
      <c r="K230">
        <v>43</v>
      </c>
      <c r="L230">
        <v>15</v>
      </c>
      <c r="M230">
        <v>32</v>
      </c>
      <c r="N230">
        <v>21</v>
      </c>
      <c r="O230">
        <v>42</v>
      </c>
      <c r="P230">
        <v>44</v>
      </c>
      <c r="Q230">
        <v>40</v>
      </c>
      <c r="R230">
        <v>35</v>
      </c>
      <c r="S230">
        <v>13</v>
      </c>
      <c r="T230">
        <v>7</v>
      </c>
      <c r="U230">
        <v>40</v>
      </c>
      <c r="V230">
        <v>16</v>
      </c>
      <c r="W230">
        <v>49</v>
      </c>
      <c r="X230">
        <v>48</v>
      </c>
      <c r="Y230">
        <v>37</v>
      </c>
      <c r="Z230">
        <v>20</v>
      </c>
      <c r="AA230">
        <v>26</v>
      </c>
      <c r="AB230">
        <v>34</v>
      </c>
      <c r="AC230">
        <v>20</v>
      </c>
      <c r="AD230">
        <v>28</v>
      </c>
      <c r="AE230">
        <v>19</v>
      </c>
      <c r="AF230">
        <v>7</v>
      </c>
      <c r="AG230">
        <v>29</v>
      </c>
      <c r="AH230">
        <v>1</v>
      </c>
      <c r="AI230">
        <v>17</v>
      </c>
      <c r="AJ230">
        <v>31</v>
      </c>
      <c r="AK230">
        <v>15</v>
      </c>
      <c r="AL230">
        <v>16</v>
      </c>
      <c r="AM230">
        <v>14</v>
      </c>
      <c r="AN230">
        <v>12</v>
      </c>
      <c r="AO230">
        <v>35</v>
      </c>
      <c r="AP230">
        <v>10</v>
      </c>
      <c r="AQ230">
        <v>12</v>
      </c>
      <c r="AR230">
        <v>15</v>
      </c>
      <c r="AS230">
        <v>2</v>
      </c>
      <c r="AT230">
        <v>3</v>
      </c>
      <c r="AU230">
        <v>43</v>
      </c>
      <c r="AV230">
        <v>43</v>
      </c>
      <c r="AW230">
        <v>49</v>
      </c>
      <c r="AX230">
        <v>25</v>
      </c>
      <c r="AY230">
        <v>40</v>
      </c>
      <c r="AZ230">
        <v>3</v>
      </c>
      <c r="BA230">
        <v>49</v>
      </c>
      <c r="BB230">
        <v>43</v>
      </c>
      <c r="BC230">
        <v>18</v>
      </c>
      <c r="BD230">
        <v>45</v>
      </c>
      <c r="BE230">
        <v>42</v>
      </c>
      <c r="BF230">
        <v>154556</v>
      </c>
      <c r="BG230">
        <v>6548</v>
      </c>
    </row>
    <row r="231" spans="1:59" x14ac:dyDescent="0.3">
      <c r="A231" s="3">
        <v>45521</v>
      </c>
      <c r="B231" t="s">
        <v>67</v>
      </c>
      <c r="C231">
        <v>8</v>
      </c>
      <c r="D231">
        <v>926</v>
      </c>
      <c r="E231">
        <v>756</v>
      </c>
      <c r="F231">
        <v>26</v>
      </c>
      <c r="G231">
        <v>46</v>
      </c>
      <c r="H231">
        <v>31</v>
      </c>
      <c r="I231">
        <v>44</v>
      </c>
      <c r="J231">
        <v>29</v>
      </c>
      <c r="K231">
        <v>23</v>
      </c>
      <c r="L231">
        <v>18</v>
      </c>
      <c r="M231">
        <v>25</v>
      </c>
      <c r="N231">
        <v>17</v>
      </c>
      <c r="O231">
        <v>6</v>
      </c>
      <c r="P231">
        <v>8</v>
      </c>
      <c r="Q231">
        <v>29</v>
      </c>
      <c r="R231">
        <v>19</v>
      </c>
      <c r="S231">
        <v>46</v>
      </c>
      <c r="T231">
        <v>5</v>
      </c>
      <c r="U231">
        <v>0</v>
      </c>
      <c r="V231">
        <v>19</v>
      </c>
      <c r="W231">
        <v>30</v>
      </c>
      <c r="X231">
        <v>40</v>
      </c>
      <c r="Y231">
        <v>4</v>
      </c>
      <c r="Z231">
        <v>16</v>
      </c>
      <c r="AA231">
        <v>18</v>
      </c>
      <c r="AB231">
        <v>34</v>
      </c>
      <c r="AC231">
        <v>45</v>
      </c>
      <c r="AD231">
        <v>9</v>
      </c>
      <c r="AE231">
        <v>6</v>
      </c>
      <c r="AF231">
        <v>12</v>
      </c>
      <c r="AG231">
        <v>16</v>
      </c>
      <c r="AH231">
        <v>38</v>
      </c>
      <c r="AI231">
        <v>8</v>
      </c>
      <c r="AJ231">
        <v>7</v>
      </c>
      <c r="AK231">
        <v>7</v>
      </c>
      <c r="AL231">
        <v>40</v>
      </c>
      <c r="AM231">
        <v>30</v>
      </c>
      <c r="AN231">
        <v>26</v>
      </c>
      <c r="AO231">
        <v>36</v>
      </c>
      <c r="AP231">
        <v>14</v>
      </c>
      <c r="AQ231">
        <v>25</v>
      </c>
      <c r="AR231">
        <v>12</v>
      </c>
      <c r="AS231">
        <v>5</v>
      </c>
      <c r="AT231">
        <v>45</v>
      </c>
      <c r="AU231">
        <v>8</v>
      </c>
      <c r="AV231">
        <v>25</v>
      </c>
      <c r="AW231">
        <v>33</v>
      </c>
      <c r="AX231">
        <v>2</v>
      </c>
      <c r="AY231">
        <v>38</v>
      </c>
      <c r="AZ231">
        <v>33</v>
      </c>
      <c r="BA231">
        <v>1</v>
      </c>
      <c r="BB231">
        <v>3</v>
      </c>
      <c r="BC231">
        <v>3</v>
      </c>
      <c r="BD231">
        <v>29</v>
      </c>
      <c r="BE231">
        <v>42</v>
      </c>
      <c r="BF231">
        <v>155106</v>
      </c>
      <c r="BG231">
        <v>6560</v>
      </c>
    </row>
    <row r="232" spans="1:59" x14ac:dyDescent="0.3">
      <c r="A232" s="3">
        <v>45522</v>
      </c>
      <c r="B232" t="s">
        <v>67</v>
      </c>
      <c r="C232">
        <v>8</v>
      </c>
      <c r="D232">
        <v>928</v>
      </c>
      <c r="E232">
        <v>757</v>
      </c>
      <c r="F232">
        <v>41</v>
      </c>
      <c r="G232">
        <v>28</v>
      </c>
      <c r="H232">
        <v>38</v>
      </c>
      <c r="I232">
        <v>37</v>
      </c>
      <c r="J232">
        <v>24</v>
      </c>
      <c r="K232">
        <v>39</v>
      </c>
      <c r="L232">
        <v>8</v>
      </c>
      <c r="M232">
        <v>38</v>
      </c>
      <c r="N232">
        <v>23</v>
      </c>
      <c r="O232">
        <v>42</v>
      </c>
      <c r="P232">
        <v>41</v>
      </c>
      <c r="Q232">
        <v>11</v>
      </c>
      <c r="R232">
        <v>17</v>
      </c>
      <c r="S232">
        <v>12</v>
      </c>
      <c r="T232">
        <v>18</v>
      </c>
      <c r="U232">
        <v>23</v>
      </c>
      <c r="V232">
        <v>6</v>
      </c>
      <c r="W232">
        <v>43</v>
      </c>
      <c r="X232">
        <v>37</v>
      </c>
      <c r="Y232">
        <v>27</v>
      </c>
      <c r="Z232">
        <v>18</v>
      </c>
      <c r="AA232">
        <v>35</v>
      </c>
      <c r="AB232">
        <v>25</v>
      </c>
      <c r="AC232">
        <v>4</v>
      </c>
      <c r="AD232">
        <v>11</v>
      </c>
      <c r="AE232">
        <v>44</v>
      </c>
      <c r="AF232">
        <v>24</v>
      </c>
      <c r="AG232">
        <v>16</v>
      </c>
      <c r="AH232">
        <v>42</v>
      </c>
      <c r="AI232">
        <v>36</v>
      </c>
      <c r="AJ232">
        <v>29</v>
      </c>
      <c r="AK232">
        <v>36</v>
      </c>
      <c r="AL232">
        <v>18</v>
      </c>
      <c r="AM232">
        <v>9</v>
      </c>
      <c r="AN232">
        <v>17</v>
      </c>
      <c r="AO232">
        <v>1</v>
      </c>
      <c r="AP232">
        <v>43</v>
      </c>
      <c r="AQ232">
        <v>35</v>
      </c>
      <c r="AR232">
        <v>10</v>
      </c>
      <c r="AS232">
        <v>46</v>
      </c>
      <c r="AT232">
        <v>28</v>
      </c>
      <c r="AU232">
        <v>31</v>
      </c>
      <c r="AV232">
        <v>22</v>
      </c>
      <c r="AW232">
        <v>20</v>
      </c>
      <c r="AX232">
        <v>42</v>
      </c>
      <c r="AY232">
        <v>1</v>
      </c>
      <c r="AZ232">
        <v>18</v>
      </c>
      <c r="BA232">
        <v>1</v>
      </c>
      <c r="BB232">
        <v>1</v>
      </c>
      <c r="BC232">
        <v>28</v>
      </c>
      <c r="BD232">
        <v>45</v>
      </c>
      <c r="BE232">
        <v>5</v>
      </c>
      <c r="BF232">
        <v>155657</v>
      </c>
      <c r="BG232">
        <v>6572</v>
      </c>
    </row>
    <row r="233" spans="1:59" x14ac:dyDescent="0.3">
      <c r="A233" s="3">
        <v>45523</v>
      </c>
      <c r="B233" t="s">
        <v>67</v>
      </c>
      <c r="C233">
        <v>8</v>
      </c>
      <c r="D233">
        <v>929</v>
      </c>
      <c r="E233">
        <v>758</v>
      </c>
      <c r="F233">
        <v>37</v>
      </c>
      <c r="G233">
        <v>19</v>
      </c>
      <c r="H233">
        <v>42</v>
      </c>
      <c r="I233">
        <v>6</v>
      </c>
      <c r="J233">
        <v>12</v>
      </c>
      <c r="K233">
        <v>22</v>
      </c>
      <c r="L233">
        <v>7</v>
      </c>
      <c r="M233">
        <v>42</v>
      </c>
      <c r="N233">
        <v>0</v>
      </c>
      <c r="O233">
        <v>4</v>
      </c>
      <c r="P233">
        <v>41</v>
      </c>
      <c r="Q233">
        <v>2</v>
      </c>
      <c r="R233">
        <v>43</v>
      </c>
      <c r="S233">
        <v>34</v>
      </c>
      <c r="T233">
        <v>28</v>
      </c>
      <c r="U233">
        <v>13</v>
      </c>
      <c r="V233">
        <v>31</v>
      </c>
      <c r="W233">
        <v>30</v>
      </c>
      <c r="X233">
        <v>49</v>
      </c>
      <c r="Y233">
        <v>46</v>
      </c>
      <c r="Z233">
        <v>39</v>
      </c>
      <c r="AA233">
        <v>45</v>
      </c>
      <c r="AB233">
        <v>42</v>
      </c>
      <c r="AC233">
        <v>36</v>
      </c>
      <c r="AD233">
        <v>45</v>
      </c>
      <c r="AE233">
        <v>11</v>
      </c>
      <c r="AF233">
        <v>13</v>
      </c>
      <c r="AG233">
        <v>44</v>
      </c>
      <c r="AH233">
        <v>21</v>
      </c>
      <c r="AI233">
        <v>23</v>
      </c>
      <c r="AJ233">
        <v>3</v>
      </c>
      <c r="AK233">
        <v>41</v>
      </c>
      <c r="AL233">
        <v>35</v>
      </c>
      <c r="AM233">
        <v>31</v>
      </c>
      <c r="AN233">
        <v>31</v>
      </c>
      <c r="AO233">
        <v>28</v>
      </c>
      <c r="AP233">
        <v>0</v>
      </c>
      <c r="AQ233">
        <v>13</v>
      </c>
      <c r="AR233">
        <v>0</v>
      </c>
      <c r="AS233">
        <v>3</v>
      </c>
      <c r="AT233">
        <v>45</v>
      </c>
      <c r="AU233">
        <v>44</v>
      </c>
      <c r="AV233">
        <v>17</v>
      </c>
      <c r="AW233">
        <v>31</v>
      </c>
      <c r="AX233">
        <v>3</v>
      </c>
      <c r="AY233">
        <v>11</v>
      </c>
      <c r="AZ233">
        <v>43</v>
      </c>
      <c r="BA233">
        <v>48</v>
      </c>
      <c r="BB233">
        <v>19</v>
      </c>
      <c r="BC233">
        <v>38</v>
      </c>
      <c r="BD233">
        <v>40</v>
      </c>
      <c r="BE233">
        <v>46</v>
      </c>
      <c r="BF233">
        <v>156208</v>
      </c>
      <c r="BG233">
        <v>6584</v>
      </c>
    </row>
    <row r="234" spans="1:59" x14ac:dyDescent="0.3">
      <c r="A234" s="3">
        <v>45524</v>
      </c>
      <c r="B234" t="s">
        <v>67</v>
      </c>
      <c r="C234">
        <v>8</v>
      </c>
      <c r="D234">
        <v>931</v>
      </c>
      <c r="E234">
        <v>758</v>
      </c>
      <c r="F234">
        <v>35</v>
      </c>
      <c r="G234">
        <v>20</v>
      </c>
      <c r="H234">
        <v>34</v>
      </c>
      <c r="I234">
        <v>17</v>
      </c>
      <c r="J234">
        <v>42</v>
      </c>
      <c r="K234">
        <v>1</v>
      </c>
      <c r="L234">
        <v>19</v>
      </c>
      <c r="M234">
        <v>10</v>
      </c>
      <c r="N234">
        <v>43</v>
      </c>
      <c r="O234">
        <v>48</v>
      </c>
      <c r="P234">
        <v>40</v>
      </c>
      <c r="Q234">
        <v>41</v>
      </c>
      <c r="R234">
        <v>21</v>
      </c>
      <c r="S234">
        <v>7</v>
      </c>
      <c r="T234">
        <v>19</v>
      </c>
      <c r="U234">
        <v>43</v>
      </c>
      <c r="V234">
        <v>48</v>
      </c>
      <c r="W234">
        <v>30</v>
      </c>
      <c r="X234">
        <v>15</v>
      </c>
      <c r="Y234">
        <v>34</v>
      </c>
      <c r="Z234">
        <v>16</v>
      </c>
      <c r="AA234">
        <v>19</v>
      </c>
      <c r="AB234">
        <v>27</v>
      </c>
      <c r="AC234">
        <v>39</v>
      </c>
      <c r="AD234">
        <v>11</v>
      </c>
      <c r="AE234">
        <v>31</v>
      </c>
      <c r="AF234">
        <v>16</v>
      </c>
      <c r="AG234">
        <v>47</v>
      </c>
      <c r="AH234">
        <v>44</v>
      </c>
      <c r="AI234">
        <v>0</v>
      </c>
      <c r="AJ234">
        <v>34</v>
      </c>
      <c r="AK234">
        <v>2</v>
      </c>
      <c r="AL234">
        <v>8</v>
      </c>
      <c r="AM234">
        <v>31</v>
      </c>
      <c r="AN234">
        <v>28</v>
      </c>
      <c r="AO234">
        <v>17</v>
      </c>
      <c r="AP234">
        <v>34</v>
      </c>
      <c r="AQ234">
        <v>22</v>
      </c>
      <c r="AR234">
        <v>32</v>
      </c>
      <c r="AS234">
        <v>7</v>
      </c>
      <c r="AT234">
        <v>30</v>
      </c>
      <c r="AU234">
        <v>45</v>
      </c>
      <c r="AV234">
        <v>17</v>
      </c>
      <c r="AW234">
        <v>19</v>
      </c>
      <c r="AX234">
        <v>47</v>
      </c>
      <c r="AY234">
        <v>4</v>
      </c>
      <c r="AZ234">
        <v>27</v>
      </c>
      <c r="BA234">
        <v>38</v>
      </c>
      <c r="BB234">
        <v>10</v>
      </c>
      <c r="BC234">
        <v>36</v>
      </c>
      <c r="BD234">
        <v>31</v>
      </c>
      <c r="BE234">
        <v>25</v>
      </c>
      <c r="BF234">
        <v>156758</v>
      </c>
      <c r="BG234">
        <v>6596</v>
      </c>
    </row>
    <row r="235" spans="1:59" x14ac:dyDescent="0.3">
      <c r="A235" s="3">
        <v>45525</v>
      </c>
      <c r="B235" t="s">
        <v>67</v>
      </c>
      <c r="C235">
        <v>8</v>
      </c>
      <c r="D235">
        <v>933</v>
      </c>
      <c r="E235">
        <v>759</v>
      </c>
      <c r="F235">
        <v>9</v>
      </c>
      <c r="G235">
        <v>13</v>
      </c>
      <c r="H235">
        <v>8</v>
      </c>
      <c r="I235">
        <v>44</v>
      </c>
      <c r="J235">
        <v>15</v>
      </c>
      <c r="K235">
        <v>36</v>
      </c>
      <c r="L235">
        <v>31</v>
      </c>
      <c r="M235">
        <v>17</v>
      </c>
      <c r="N235">
        <v>14</v>
      </c>
      <c r="O235">
        <v>27</v>
      </c>
      <c r="P235">
        <v>13</v>
      </c>
      <c r="Q235">
        <v>12</v>
      </c>
      <c r="R235">
        <v>43</v>
      </c>
      <c r="S235">
        <v>49</v>
      </c>
      <c r="T235">
        <v>42</v>
      </c>
      <c r="U235">
        <v>48</v>
      </c>
      <c r="V235">
        <v>26</v>
      </c>
      <c r="W235">
        <v>13</v>
      </c>
      <c r="X235">
        <v>18</v>
      </c>
      <c r="Y235">
        <v>10</v>
      </c>
      <c r="Z235">
        <v>1</v>
      </c>
      <c r="AA235">
        <v>44</v>
      </c>
      <c r="AB235">
        <v>17</v>
      </c>
      <c r="AC235">
        <v>1</v>
      </c>
      <c r="AD235">
        <v>16</v>
      </c>
      <c r="AE235">
        <v>49</v>
      </c>
      <c r="AF235">
        <v>22</v>
      </c>
      <c r="AG235">
        <v>44</v>
      </c>
      <c r="AH235">
        <v>6</v>
      </c>
      <c r="AI235">
        <v>26</v>
      </c>
      <c r="AJ235">
        <v>20</v>
      </c>
      <c r="AK235">
        <v>36</v>
      </c>
      <c r="AL235">
        <v>46</v>
      </c>
      <c r="AM235">
        <v>20</v>
      </c>
      <c r="AN235">
        <v>21</v>
      </c>
      <c r="AO235">
        <v>23</v>
      </c>
      <c r="AP235">
        <v>18</v>
      </c>
      <c r="AQ235">
        <v>19</v>
      </c>
      <c r="AR235">
        <v>16</v>
      </c>
      <c r="AS235">
        <v>23</v>
      </c>
      <c r="AT235">
        <v>30</v>
      </c>
      <c r="AU235">
        <v>18</v>
      </c>
      <c r="AV235">
        <v>31</v>
      </c>
      <c r="AW235">
        <v>24</v>
      </c>
      <c r="AX235">
        <v>4</v>
      </c>
      <c r="AY235">
        <v>3</v>
      </c>
      <c r="AZ235">
        <v>33</v>
      </c>
      <c r="BA235">
        <v>48</v>
      </c>
      <c r="BB235">
        <v>42</v>
      </c>
      <c r="BC235">
        <v>3</v>
      </c>
      <c r="BD235">
        <v>48</v>
      </c>
      <c r="BE235">
        <v>19</v>
      </c>
      <c r="BF235">
        <v>157309</v>
      </c>
      <c r="BG235">
        <v>6608</v>
      </c>
    </row>
    <row r="236" spans="1:59" x14ac:dyDescent="0.3">
      <c r="A236" s="3">
        <v>45526</v>
      </c>
      <c r="B236" t="s">
        <v>67</v>
      </c>
      <c r="C236">
        <v>8</v>
      </c>
      <c r="D236">
        <v>934</v>
      </c>
      <c r="E236">
        <v>760</v>
      </c>
      <c r="F236">
        <v>30</v>
      </c>
      <c r="G236">
        <v>15</v>
      </c>
      <c r="H236">
        <v>35</v>
      </c>
      <c r="I236">
        <v>16</v>
      </c>
      <c r="J236">
        <v>14</v>
      </c>
      <c r="K236">
        <v>40</v>
      </c>
      <c r="L236">
        <v>13</v>
      </c>
      <c r="M236">
        <v>34</v>
      </c>
      <c r="N236">
        <v>41</v>
      </c>
      <c r="O236">
        <v>8</v>
      </c>
      <c r="P236">
        <v>28</v>
      </c>
      <c r="Q236">
        <v>20</v>
      </c>
      <c r="R236">
        <v>18</v>
      </c>
      <c r="S236">
        <v>9</v>
      </c>
      <c r="T236">
        <v>2</v>
      </c>
      <c r="U236">
        <v>3</v>
      </c>
      <c r="V236">
        <v>7</v>
      </c>
      <c r="W236">
        <v>24</v>
      </c>
      <c r="X236">
        <v>20</v>
      </c>
      <c r="Y236">
        <v>25</v>
      </c>
      <c r="Z236">
        <v>48</v>
      </c>
      <c r="AA236">
        <v>44</v>
      </c>
      <c r="AB236">
        <v>45</v>
      </c>
      <c r="AC236">
        <v>43</v>
      </c>
      <c r="AD236">
        <v>23</v>
      </c>
      <c r="AE236">
        <v>15</v>
      </c>
      <c r="AF236">
        <v>39</v>
      </c>
      <c r="AG236">
        <v>33</v>
      </c>
      <c r="AH236">
        <v>10</v>
      </c>
      <c r="AI236">
        <v>15</v>
      </c>
      <c r="AJ236">
        <v>6</v>
      </c>
      <c r="AK236">
        <v>49</v>
      </c>
      <c r="AL236">
        <v>25</v>
      </c>
      <c r="AM236">
        <v>14</v>
      </c>
      <c r="AN236">
        <v>35</v>
      </c>
      <c r="AO236">
        <v>9</v>
      </c>
      <c r="AP236">
        <v>38</v>
      </c>
      <c r="AQ236">
        <v>48</v>
      </c>
      <c r="AR236">
        <v>19</v>
      </c>
      <c r="AS236">
        <v>49</v>
      </c>
      <c r="AT236">
        <v>33</v>
      </c>
      <c r="AU236">
        <v>47</v>
      </c>
      <c r="AV236">
        <v>21</v>
      </c>
      <c r="AW236">
        <v>19</v>
      </c>
      <c r="AX236">
        <v>7</v>
      </c>
      <c r="AY236">
        <v>21</v>
      </c>
      <c r="AZ236">
        <v>46</v>
      </c>
      <c r="BA236">
        <v>6</v>
      </c>
      <c r="BB236">
        <v>6</v>
      </c>
      <c r="BC236">
        <v>32</v>
      </c>
      <c r="BD236">
        <v>9</v>
      </c>
      <c r="BE236">
        <v>48</v>
      </c>
      <c r="BF236">
        <v>157860</v>
      </c>
      <c r="BG236">
        <v>6620</v>
      </c>
    </row>
    <row r="237" spans="1:59" x14ac:dyDescent="0.3">
      <c r="A237" s="3">
        <v>45527</v>
      </c>
      <c r="B237" t="s">
        <v>67</v>
      </c>
      <c r="C237">
        <v>8</v>
      </c>
      <c r="D237">
        <v>936</v>
      </c>
      <c r="E237">
        <v>760</v>
      </c>
      <c r="F237">
        <v>3</v>
      </c>
      <c r="G237">
        <v>16</v>
      </c>
      <c r="H237">
        <v>4</v>
      </c>
      <c r="I237">
        <v>45</v>
      </c>
      <c r="J237">
        <v>36</v>
      </c>
      <c r="K237">
        <v>24</v>
      </c>
      <c r="L237">
        <v>13</v>
      </c>
      <c r="M237">
        <v>11</v>
      </c>
      <c r="N237">
        <v>17</v>
      </c>
      <c r="O237">
        <v>40</v>
      </c>
      <c r="P237">
        <v>42</v>
      </c>
      <c r="Q237">
        <v>1</v>
      </c>
      <c r="R237">
        <v>22</v>
      </c>
      <c r="S237">
        <v>22</v>
      </c>
      <c r="T237">
        <v>28</v>
      </c>
      <c r="U237">
        <v>18</v>
      </c>
      <c r="V237">
        <v>45</v>
      </c>
      <c r="W237">
        <v>9</v>
      </c>
      <c r="X237">
        <v>28</v>
      </c>
      <c r="Y237">
        <v>32</v>
      </c>
      <c r="Z237">
        <v>24</v>
      </c>
      <c r="AA237">
        <v>14</v>
      </c>
      <c r="AB237">
        <v>25</v>
      </c>
      <c r="AC237">
        <v>44</v>
      </c>
      <c r="AD237">
        <v>23</v>
      </c>
      <c r="AE237">
        <v>47</v>
      </c>
      <c r="AF237">
        <v>30</v>
      </c>
      <c r="AG237">
        <v>4</v>
      </c>
      <c r="AH237">
        <v>10</v>
      </c>
      <c r="AI237">
        <v>23</v>
      </c>
      <c r="AJ237">
        <v>18</v>
      </c>
      <c r="AK237">
        <v>44</v>
      </c>
      <c r="AL237">
        <v>3</v>
      </c>
      <c r="AM237">
        <v>8</v>
      </c>
      <c r="AN237">
        <v>30</v>
      </c>
      <c r="AO237">
        <v>13</v>
      </c>
      <c r="AP237">
        <v>35</v>
      </c>
      <c r="AQ237">
        <v>31</v>
      </c>
      <c r="AR237">
        <v>16</v>
      </c>
      <c r="AS237">
        <v>42</v>
      </c>
      <c r="AT237">
        <v>30</v>
      </c>
      <c r="AU237">
        <v>27</v>
      </c>
      <c r="AV237">
        <v>4</v>
      </c>
      <c r="AW237">
        <v>35</v>
      </c>
      <c r="AX237">
        <v>49</v>
      </c>
      <c r="AY237">
        <v>3</v>
      </c>
      <c r="AZ237">
        <v>7</v>
      </c>
      <c r="BA237">
        <v>10</v>
      </c>
      <c r="BB237">
        <v>16</v>
      </c>
      <c r="BC237">
        <v>25</v>
      </c>
      <c r="BD237">
        <v>35</v>
      </c>
      <c r="BE237">
        <v>3</v>
      </c>
      <c r="BF237">
        <v>158410</v>
      </c>
      <c r="BG237">
        <v>6632</v>
      </c>
    </row>
    <row r="238" spans="1:59" x14ac:dyDescent="0.3">
      <c r="A238" s="3">
        <v>45528</v>
      </c>
      <c r="B238" t="s">
        <v>67</v>
      </c>
      <c r="C238">
        <v>8</v>
      </c>
      <c r="D238">
        <v>937</v>
      </c>
      <c r="E238">
        <v>761</v>
      </c>
      <c r="F238">
        <v>7</v>
      </c>
      <c r="G238">
        <v>40</v>
      </c>
      <c r="H238">
        <v>23</v>
      </c>
      <c r="I238">
        <v>25</v>
      </c>
      <c r="J238">
        <v>4</v>
      </c>
      <c r="K238">
        <v>13</v>
      </c>
      <c r="L238">
        <v>26</v>
      </c>
      <c r="M238">
        <v>24</v>
      </c>
      <c r="N238">
        <v>28</v>
      </c>
      <c r="O238">
        <v>2</v>
      </c>
      <c r="P238">
        <v>24</v>
      </c>
      <c r="Q238">
        <v>2</v>
      </c>
      <c r="R238">
        <v>41</v>
      </c>
      <c r="S238">
        <v>34</v>
      </c>
      <c r="T238">
        <v>10</v>
      </c>
      <c r="U238">
        <v>9</v>
      </c>
      <c r="V238">
        <v>0</v>
      </c>
      <c r="W238">
        <v>3</v>
      </c>
      <c r="X238">
        <v>43</v>
      </c>
      <c r="Y238">
        <v>39</v>
      </c>
      <c r="Z238">
        <v>34</v>
      </c>
      <c r="AA238">
        <v>29</v>
      </c>
      <c r="AB238">
        <v>37</v>
      </c>
      <c r="AC238">
        <v>30</v>
      </c>
      <c r="AD238">
        <v>19</v>
      </c>
      <c r="AE238">
        <v>23</v>
      </c>
      <c r="AF238">
        <v>29</v>
      </c>
      <c r="AG238">
        <v>28</v>
      </c>
      <c r="AH238">
        <v>24</v>
      </c>
      <c r="AI238">
        <v>46</v>
      </c>
      <c r="AJ238">
        <v>26</v>
      </c>
      <c r="AK238">
        <v>0</v>
      </c>
      <c r="AL238">
        <v>38</v>
      </c>
      <c r="AM238">
        <v>48</v>
      </c>
      <c r="AN238">
        <v>0</v>
      </c>
      <c r="AO238">
        <v>35</v>
      </c>
      <c r="AP238">
        <v>40</v>
      </c>
      <c r="AQ238">
        <v>30</v>
      </c>
      <c r="AR238">
        <v>26</v>
      </c>
      <c r="AS238">
        <v>19</v>
      </c>
      <c r="AT238">
        <v>38</v>
      </c>
      <c r="AU238">
        <v>40</v>
      </c>
      <c r="AV238">
        <v>28</v>
      </c>
      <c r="AW238">
        <v>26</v>
      </c>
      <c r="AX238">
        <v>13</v>
      </c>
      <c r="AY238">
        <v>2</v>
      </c>
      <c r="AZ238">
        <v>33</v>
      </c>
      <c r="BA238">
        <v>37</v>
      </c>
      <c r="BB238">
        <v>25</v>
      </c>
      <c r="BC238">
        <v>42</v>
      </c>
      <c r="BD238">
        <v>45</v>
      </c>
      <c r="BE238">
        <v>23</v>
      </c>
      <c r="BF238">
        <v>158961</v>
      </c>
      <c r="BG238">
        <v>6644</v>
      </c>
    </row>
    <row r="239" spans="1:59" x14ac:dyDescent="0.3">
      <c r="A239" s="3">
        <v>45529</v>
      </c>
      <c r="B239" t="s">
        <v>67</v>
      </c>
      <c r="C239">
        <v>8</v>
      </c>
      <c r="D239">
        <v>939</v>
      </c>
      <c r="E239">
        <v>762</v>
      </c>
      <c r="F239">
        <v>3</v>
      </c>
      <c r="G239">
        <v>6</v>
      </c>
      <c r="H239">
        <v>15</v>
      </c>
      <c r="I239">
        <v>11</v>
      </c>
      <c r="J239">
        <v>15</v>
      </c>
      <c r="K239">
        <v>32</v>
      </c>
      <c r="L239">
        <v>42</v>
      </c>
      <c r="M239">
        <v>15</v>
      </c>
      <c r="N239">
        <v>29</v>
      </c>
      <c r="O239">
        <v>20</v>
      </c>
      <c r="P239">
        <v>26</v>
      </c>
      <c r="Q239">
        <v>15</v>
      </c>
      <c r="R239">
        <v>46</v>
      </c>
      <c r="S239">
        <v>12</v>
      </c>
      <c r="T239">
        <v>9</v>
      </c>
      <c r="U239">
        <v>40</v>
      </c>
      <c r="V239">
        <v>46</v>
      </c>
      <c r="W239">
        <v>13</v>
      </c>
      <c r="X239">
        <v>46</v>
      </c>
      <c r="Y239">
        <v>39</v>
      </c>
      <c r="Z239">
        <v>9</v>
      </c>
      <c r="AA239">
        <v>8</v>
      </c>
      <c r="AB239">
        <v>32</v>
      </c>
      <c r="AC239">
        <v>22</v>
      </c>
      <c r="AD239">
        <v>19</v>
      </c>
      <c r="AE239">
        <v>38</v>
      </c>
      <c r="AF239">
        <v>42</v>
      </c>
      <c r="AG239">
        <v>27</v>
      </c>
      <c r="AH239">
        <v>23</v>
      </c>
      <c r="AI239">
        <v>39</v>
      </c>
      <c r="AJ239">
        <v>26</v>
      </c>
      <c r="AK239">
        <v>14</v>
      </c>
      <c r="AL239">
        <v>35</v>
      </c>
      <c r="AM239">
        <v>49</v>
      </c>
      <c r="AN239">
        <v>47</v>
      </c>
      <c r="AO239">
        <v>37</v>
      </c>
      <c r="AP239">
        <v>32</v>
      </c>
      <c r="AQ239">
        <v>30</v>
      </c>
      <c r="AR239">
        <v>22</v>
      </c>
      <c r="AS239">
        <v>13</v>
      </c>
      <c r="AT239">
        <v>41</v>
      </c>
      <c r="AU239">
        <v>8</v>
      </c>
      <c r="AV239">
        <v>19</v>
      </c>
      <c r="AW239">
        <v>41</v>
      </c>
      <c r="AX239">
        <v>24</v>
      </c>
      <c r="AY239">
        <v>36</v>
      </c>
      <c r="AZ239">
        <v>27</v>
      </c>
      <c r="BA239">
        <v>43</v>
      </c>
      <c r="BB239">
        <v>0</v>
      </c>
      <c r="BC239">
        <v>0</v>
      </c>
      <c r="BD239">
        <v>40</v>
      </c>
      <c r="BE239">
        <v>13</v>
      </c>
      <c r="BF239">
        <v>159512</v>
      </c>
      <c r="BG239">
        <v>6656</v>
      </c>
    </row>
    <row r="240" spans="1:59" x14ac:dyDescent="0.3">
      <c r="A240" s="3">
        <v>45530</v>
      </c>
      <c r="B240" t="s">
        <v>67</v>
      </c>
      <c r="C240">
        <v>8</v>
      </c>
      <c r="D240">
        <v>941</v>
      </c>
      <c r="E240">
        <v>763</v>
      </c>
      <c r="F240">
        <v>19</v>
      </c>
      <c r="G240">
        <v>3</v>
      </c>
      <c r="H240">
        <v>23</v>
      </c>
      <c r="I240">
        <v>24</v>
      </c>
      <c r="J240">
        <v>8</v>
      </c>
      <c r="K240">
        <v>12</v>
      </c>
      <c r="L240">
        <v>13</v>
      </c>
      <c r="M240">
        <v>19</v>
      </c>
      <c r="N240">
        <v>40</v>
      </c>
      <c r="O240">
        <v>48</v>
      </c>
      <c r="P240">
        <v>44</v>
      </c>
      <c r="Q240">
        <v>14</v>
      </c>
      <c r="R240">
        <v>2</v>
      </c>
      <c r="S240">
        <v>32</v>
      </c>
      <c r="T240">
        <v>41</v>
      </c>
      <c r="U240">
        <v>37</v>
      </c>
      <c r="V240">
        <v>9</v>
      </c>
      <c r="W240">
        <v>25</v>
      </c>
      <c r="X240">
        <v>8</v>
      </c>
      <c r="Y240">
        <v>21</v>
      </c>
      <c r="Z240">
        <v>40</v>
      </c>
      <c r="AA240">
        <v>44</v>
      </c>
      <c r="AB240">
        <v>25</v>
      </c>
      <c r="AC240">
        <v>35</v>
      </c>
      <c r="AD240">
        <v>29</v>
      </c>
      <c r="AE240">
        <v>38</v>
      </c>
      <c r="AF240">
        <v>48</v>
      </c>
      <c r="AG240">
        <v>32</v>
      </c>
      <c r="AH240">
        <v>22</v>
      </c>
      <c r="AI240">
        <v>3</v>
      </c>
      <c r="AJ240">
        <v>1</v>
      </c>
      <c r="AK240">
        <v>47</v>
      </c>
      <c r="AL240">
        <v>45</v>
      </c>
      <c r="AM240">
        <v>43</v>
      </c>
      <c r="AN240">
        <v>14</v>
      </c>
      <c r="AO240">
        <v>24</v>
      </c>
      <c r="AP240">
        <v>49</v>
      </c>
      <c r="AQ240">
        <v>48</v>
      </c>
      <c r="AR240">
        <v>7</v>
      </c>
      <c r="AS240">
        <v>4</v>
      </c>
      <c r="AT240">
        <v>19</v>
      </c>
      <c r="AU240">
        <v>46</v>
      </c>
      <c r="AV240">
        <v>19</v>
      </c>
      <c r="AW240">
        <v>19</v>
      </c>
      <c r="AX240">
        <v>2</v>
      </c>
      <c r="AY240">
        <v>2</v>
      </c>
      <c r="AZ240">
        <v>36</v>
      </c>
      <c r="BA240">
        <v>47</v>
      </c>
      <c r="BB240">
        <v>47</v>
      </c>
      <c r="BC240">
        <v>18</v>
      </c>
      <c r="BD240">
        <v>33</v>
      </c>
      <c r="BE240">
        <v>44</v>
      </c>
      <c r="BF240">
        <v>160063</v>
      </c>
      <c r="BG240">
        <v>6669</v>
      </c>
    </row>
    <row r="241" spans="1:59" x14ac:dyDescent="0.3">
      <c r="A241" s="3">
        <v>45531</v>
      </c>
      <c r="B241" t="s">
        <v>67</v>
      </c>
      <c r="C241">
        <v>8</v>
      </c>
      <c r="D241">
        <v>942</v>
      </c>
      <c r="E241">
        <v>763</v>
      </c>
      <c r="F241">
        <v>40</v>
      </c>
      <c r="G241">
        <v>26</v>
      </c>
      <c r="H241">
        <v>48</v>
      </c>
      <c r="I241">
        <v>28</v>
      </c>
      <c r="J241">
        <v>8</v>
      </c>
      <c r="K241">
        <v>43</v>
      </c>
      <c r="L241">
        <v>19</v>
      </c>
      <c r="M241">
        <v>18</v>
      </c>
      <c r="N241">
        <v>47</v>
      </c>
      <c r="O241">
        <v>16</v>
      </c>
      <c r="P241">
        <v>0</v>
      </c>
      <c r="Q241">
        <v>45</v>
      </c>
      <c r="R241">
        <v>24</v>
      </c>
      <c r="S241">
        <v>39</v>
      </c>
      <c r="T241">
        <v>17</v>
      </c>
      <c r="U241">
        <v>34</v>
      </c>
      <c r="V241">
        <v>14</v>
      </c>
      <c r="W241">
        <v>20</v>
      </c>
      <c r="X241">
        <v>19</v>
      </c>
      <c r="Y241">
        <v>8</v>
      </c>
      <c r="Z241">
        <v>8</v>
      </c>
      <c r="AA241">
        <v>45</v>
      </c>
      <c r="AB241">
        <v>41</v>
      </c>
      <c r="AC241">
        <v>12</v>
      </c>
      <c r="AD241">
        <v>31</v>
      </c>
      <c r="AE241">
        <v>35</v>
      </c>
      <c r="AF241">
        <v>1</v>
      </c>
      <c r="AG241">
        <v>42</v>
      </c>
      <c r="AH241">
        <v>48</v>
      </c>
      <c r="AI241">
        <v>21</v>
      </c>
      <c r="AJ241">
        <v>9</v>
      </c>
      <c r="AK241">
        <v>5</v>
      </c>
      <c r="AL241">
        <v>49</v>
      </c>
      <c r="AM241">
        <v>18</v>
      </c>
      <c r="AN241">
        <v>8</v>
      </c>
      <c r="AO241">
        <v>10</v>
      </c>
      <c r="AP241">
        <v>37</v>
      </c>
      <c r="AQ241">
        <v>17</v>
      </c>
      <c r="AR241">
        <v>36</v>
      </c>
      <c r="AS241">
        <v>43</v>
      </c>
      <c r="AT241">
        <v>2</v>
      </c>
      <c r="AU241">
        <v>23</v>
      </c>
      <c r="AV241">
        <v>6</v>
      </c>
      <c r="AW241">
        <v>7</v>
      </c>
      <c r="AX241">
        <v>48</v>
      </c>
      <c r="AY241">
        <v>25</v>
      </c>
      <c r="AZ241">
        <v>42</v>
      </c>
      <c r="BA241">
        <v>7</v>
      </c>
      <c r="BB241">
        <v>13</v>
      </c>
      <c r="BC241">
        <v>3</v>
      </c>
      <c r="BD241">
        <v>6</v>
      </c>
      <c r="BE241">
        <v>21</v>
      </c>
      <c r="BF241">
        <v>160613</v>
      </c>
      <c r="BG241">
        <v>6681</v>
      </c>
    </row>
    <row r="242" spans="1:59" x14ac:dyDescent="0.3">
      <c r="A242" s="3">
        <v>45532</v>
      </c>
      <c r="B242" t="s">
        <v>67</v>
      </c>
      <c r="C242">
        <v>8</v>
      </c>
      <c r="D242">
        <v>944</v>
      </c>
      <c r="E242">
        <v>764</v>
      </c>
      <c r="F242">
        <v>22</v>
      </c>
      <c r="G242">
        <v>10</v>
      </c>
      <c r="H242">
        <v>36</v>
      </c>
      <c r="I242">
        <v>22</v>
      </c>
      <c r="J242">
        <v>14</v>
      </c>
      <c r="K242">
        <v>8</v>
      </c>
      <c r="L242">
        <v>11</v>
      </c>
      <c r="M242">
        <v>1</v>
      </c>
      <c r="N242">
        <v>33</v>
      </c>
      <c r="O242">
        <v>9</v>
      </c>
      <c r="P242">
        <v>9</v>
      </c>
      <c r="Q242">
        <v>26</v>
      </c>
      <c r="R242">
        <v>28</v>
      </c>
      <c r="S242">
        <v>44</v>
      </c>
      <c r="T242">
        <v>34</v>
      </c>
      <c r="U242">
        <v>1</v>
      </c>
      <c r="V242">
        <v>22</v>
      </c>
      <c r="W242">
        <v>48</v>
      </c>
      <c r="X242">
        <v>13</v>
      </c>
      <c r="Y242">
        <v>11</v>
      </c>
      <c r="Z242">
        <v>46</v>
      </c>
      <c r="AA242">
        <v>16</v>
      </c>
      <c r="AB242">
        <v>4</v>
      </c>
      <c r="AC242">
        <v>41</v>
      </c>
      <c r="AD242">
        <v>0</v>
      </c>
      <c r="AE242">
        <v>26</v>
      </c>
      <c r="AF242">
        <v>13</v>
      </c>
      <c r="AG242">
        <v>47</v>
      </c>
      <c r="AH242">
        <v>29</v>
      </c>
      <c r="AI242">
        <v>36</v>
      </c>
      <c r="AJ242">
        <v>1</v>
      </c>
      <c r="AK242">
        <v>26</v>
      </c>
      <c r="AL242">
        <v>20</v>
      </c>
      <c r="AM242">
        <v>46</v>
      </c>
      <c r="AN242">
        <v>10</v>
      </c>
      <c r="AO242">
        <v>45</v>
      </c>
      <c r="AP242">
        <v>0</v>
      </c>
      <c r="AQ242">
        <v>8</v>
      </c>
      <c r="AR242">
        <v>47</v>
      </c>
      <c r="AS242">
        <v>33</v>
      </c>
      <c r="AT242">
        <v>11</v>
      </c>
      <c r="AU242">
        <v>9</v>
      </c>
      <c r="AV242">
        <v>0</v>
      </c>
      <c r="AW242">
        <v>31</v>
      </c>
      <c r="AX242">
        <v>1</v>
      </c>
      <c r="AY242">
        <v>26</v>
      </c>
      <c r="AZ242">
        <v>6</v>
      </c>
      <c r="BA242">
        <v>37</v>
      </c>
      <c r="BB242">
        <v>30</v>
      </c>
      <c r="BC242">
        <v>25</v>
      </c>
      <c r="BD242">
        <v>31</v>
      </c>
      <c r="BE242">
        <v>23</v>
      </c>
      <c r="BF242">
        <v>161164</v>
      </c>
      <c r="BG242">
        <v>6693</v>
      </c>
    </row>
    <row r="243" spans="1:59" x14ac:dyDescent="0.3">
      <c r="A243" s="3">
        <v>45533</v>
      </c>
      <c r="B243" t="s">
        <v>67</v>
      </c>
      <c r="C243">
        <v>8</v>
      </c>
      <c r="D243">
        <v>946</v>
      </c>
      <c r="E243">
        <v>765</v>
      </c>
      <c r="F243">
        <v>46</v>
      </c>
      <c r="G243">
        <v>11</v>
      </c>
      <c r="H243">
        <v>43</v>
      </c>
      <c r="I243">
        <v>39</v>
      </c>
      <c r="J243">
        <v>44</v>
      </c>
      <c r="K243">
        <v>23</v>
      </c>
      <c r="L243">
        <v>48</v>
      </c>
      <c r="M243">
        <v>6</v>
      </c>
      <c r="N243">
        <v>48</v>
      </c>
      <c r="O243">
        <v>46</v>
      </c>
      <c r="P243">
        <v>5</v>
      </c>
      <c r="Q243">
        <v>33</v>
      </c>
      <c r="R243">
        <v>3</v>
      </c>
      <c r="S243">
        <v>16</v>
      </c>
      <c r="T243">
        <v>31</v>
      </c>
      <c r="U243">
        <v>39</v>
      </c>
      <c r="V243">
        <v>21</v>
      </c>
      <c r="W243">
        <v>38</v>
      </c>
      <c r="X243">
        <v>29</v>
      </c>
      <c r="Y243">
        <v>46</v>
      </c>
      <c r="Z243">
        <v>29</v>
      </c>
      <c r="AA243">
        <v>28</v>
      </c>
      <c r="AB243">
        <v>36</v>
      </c>
      <c r="AC243">
        <v>42</v>
      </c>
      <c r="AD243">
        <v>12</v>
      </c>
      <c r="AE243">
        <v>0</v>
      </c>
      <c r="AF243">
        <v>26</v>
      </c>
      <c r="AG243">
        <v>40</v>
      </c>
      <c r="AH243">
        <v>30</v>
      </c>
      <c r="AI243">
        <v>2</v>
      </c>
      <c r="AJ243">
        <v>26</v>
      </c>
      <c r="AK243">
        <v>12</v>
      </c>
      <c r="AL243">
        <v>13</v>
      </c>
      <c r="AM243">
        <v>14</v>
      </c>
      <c r="AN243">
        <v>8</v>
      </c>
      <c r="AO243">
        <v>38</v>
      </c>
      <c r="AP243">
        <v>2</v>
      </c>
      <c r="AQ243">
        <v>4</v>
      </c>
      <c r="AR243">
        <v>49</v>
      </c>
      <c r="AS243">
        <v>22</v>
      </c>
      <c r="AT243">
        <v>30</v>
      </c>
      <c r="AU243">
        <v>36</v>
      </c>
      <c r="AV243">
        <v>17</v>
      </c>
      <c r="AW243">
        <v>33</v>
      </c>
      <c r="AX243">
        <v>35</v>
      </c>
      <c r="AY243">
        <v>5</v>
      </c>
      <c r="AZ243">
        <v>34</v>
      </c>
      <c r="BA243">
        <v>23</v>
      </c>
      <c r="BB243">
        <v>27</v>
      </c>
      <c r="BC243">
        <v>15</v>
      </c>
      <c r="BD243">
        <v>15</v>
      </c>
      <c r="BE243">
        <v>31</v>
      </c>
      <c r="BF243">
        <v>161715</v>
      </c>
      <c r="BG243">
        <v>6705</v>
      </c>
    </row>
    <row r="244" spans="1:59" x14ac:dyDescent="0.3">
      <c r="A244" s="3">
        <v>45534</v>
      </c>
      <c r="B244" t="s">
        <v>67</v>
      </c>
      <c r="C244">
        <v>8</v>
      </c>
      <c r="D244">
        <v>947</v>
      </c>
      <c r="E244">
        <v>765</v>
      </c>
      <c r="F244">
        <v>30</v>
      </c>
      <c r="G244">
        <v>28</v>
      </c>
      <c r="H244">
        <v>39</v>
      </c>
      <c r="I244">
        <v>8</v>
      </c>
      <c r="J244">
        <v>29</v>
      </c>
      <c r="K244">
        <v>10</v>
      </c>
      <c r="L244">
        <v>12</v>
      </c>
      <c r="M244">
        <v>19</v>
      </c>
      <c r="N244">
        <v>28</v>
      </c>
      <c r="O244">
        <v>28</v>
      </c>
      <c r="P244">
        <v>36</v>
      </c>
      <c r="Q244">
        <v>1</v>
      </c>
      <c r="R244">
        <v>30</v>
      </c>
      <c r="S244">
        <v>32</v>
      </c>
      <c r="T244">
        <v>48</v>
      </c>
      <c r="U244">
        <v>26</v>
      </c>
      <c r="V244">
        <v>23</v>
      </c>
      <c r="W244">
        <v>7</v>
      </c>
      <c r="X244">
        <v>45</v>
      </c>
      <c r="Y244">
        <v>2</v>
      </c>
      <c r="Z244">
        <v>19</v>
      </c>
      <c r="AA244">
        <v>6</v>
      </c>
      <c r="AB244">
        <v>46</v>
      </c>
      <c r="AC244">
        <v>6</v>
      </c>
      <c r="AD244">
        <v>31</v>
      </c>
      <c r="AE244">
        <v>3</v>
      </c>
      <c r="AF244">
        <v>2</v>
      </c>
      <c r="AG244">
        <v>5</v>
      </c>
      <c r="AH244">
        <v>28</v>
      </c>
      <c r="AI244">
        <v>41</v>
      </c>
      <c r="AJ244">
        <v>36</v>
      </c>
      <c r="AK244">
        <v>6</v>
      </c>
      <c r="AL244">
        <v>44</v>
      </c>
      <c r="AM244">
        <v>17</v>
      </c>
      <c r="AN244">
        <v>13</v>
      </c>
      <c r="AO244">
        <v>46</v>
      </c>
      <c r="AP244">
        <v>14</v>
      </c>
      <c r="AQ244">
        <v>37</v>
      </c>
      <c r="AR244">
        <v>17</v>
      </c>
      <c r="AS244">
        <v>9</v>
      </c>
      <c r="AT244">
        <v>24</v>
      </c>
      <c r="AU244">
        <v>5</v>
      </c>
      <c r="AV244">
        <v>44</v>
      </c>
      <c r="AW244">
        <v>17</v>
      </c>
      <c r="AX244">
        <v>29</v>
      </c>
      <c r="AY244">
        <v>41</v>
      </c>
      <c r="AZ244">
        <v>24</v>
      </c>
      <c r="BA244">
        <v>42</v>
      </c>
      <c r="BB244">
        <v>22</v>
      </c>
      <c r="BC244">
        <v>21</v>
      </c>
      <c r="BD244">
        <v>3</v>
      </c>
      <c r="BE244">
        <v>19</v>
      </c>
      <c r="BF244">
        <v>162265</v>
      </c>
      <c r="BG244">
        <v>6717</v>
      </c>
    </row>
    <row r="245" spans="1:59" x14ac:dyDescent="0.3">
      <c r="A245" s="3">
        <v>45535</v>
      </c>
      <c r="B245" t="s">
        <v>67</v>
      </c>
      <c r="C245">
        <v>8</v>
      </c>
      <c r="D245">
        <v>949</v>
      </c>
      <c r="E245">
        <v>766</v>
      </c>
      <c r="F245">
        <v>47</v>
      </c>
      <c r="G245">
        <v>19</v>
      </c>
      <c r="H245">
        <v>36</v>
      </c>
      <c r="I245">
        <v>43</v>
      </c>
      <c r="J245">
        <v>7</v>
      </c>
      <c r="K245">
        <v>14</v>
      </c>
      <c r="L245">
        <v>9</v>
      </c>
      <c r="M245">
        <v>11</v>
      </c>
      <c r="N245">
        <v>43</v>
      </c>
      <c r="O245">
        <v>32</v>
      </c>
      <c r="P245">
        <v>11</v>
      </c>
      <c r="Q245">
        <v>23</v>
      </c>
      <c r="R245">
        <v>42</v>
      </c>
      <c r="S245">
        <v>33</v>
      </c>
      <c r="T245">
        <v>28</v>
      </c>
      <c r="U245">
        <v>14</v>
      </c>
      <c r="V245">
        <v>11</v>
      </c>
      <c r="W245">
        <v>6</v>
      </c>
      <c r="X245">
        <v>14</v>
      </c>
      <c r="Y245">
        <v>17</v>
      </c>
      <c r="Z245">
        <v>37</v>
      </c>
      <c r="AA245">
        <v>5</v>
      </c>
      <c r="AB245">
        <v>9</v>
      </c>
      <c r="AC245">
        <v>0</v>
      </c>
      <c r="AD245">
        <v>35</v>
      </c>
      <c r="AE245">
        <v>6</v>
      </c>
      <c r="AF245">
        <v>43</v>
      </c>
      <c r="AG245">
        <v>23</v>
      </c>
      <c r="AH245">
        <v>19</v>
      </c>
      <c r="AI245">
        <v>43</v>
      </c>
      <c r="AJ245">
        <v>23</v>
      </c>
      <c r="AK245">
        <v>33</v>
      </c>
      <c r="AL245">
        <v>19</v>
      </c>
      <c r="AM245">
        <v>11</v>
      </c>
      <c r="AN245">
        <v>11</v>
      </c>
      <c r="AO245">
        <v>3</v>
      </c>
      <c r="AP245">
        <v>42</v>
      </c>
      <c r="AQ245">
        <v>6</v>
      </c>
      <c r="AR245">
        <v>24</v>
      </c>
      <c r="AS245">
        <v>44</v>
      </c>
      <c r="AT245">
        <v>23</v>
      </c>
      <c r="AU245">
        <v>13</v>
      </c>
      <c r="AV245">
        <v>28</v>
      </c>
      <c r="AW245">
        <v>25</v>
      </c>
      <c r="AX245">
        <v>40</v>
      </c>
      <c r="AY245">
        <v>0</v>
      </c>
      <c r="AZ245">
        <v>48</v>
      </c>
      <c r="BA245">
        <v>34</v>
      </c>
      <c r="BB245">
        <v>45</v>
      </c>
      <c r="BC245">
        <v>44</v>
      </c>
      <c r="BD245">
        <v>42</v>
      </c>
      <c r="BE245">
        <v>18</v>
      </c>
      <c r="BF245">
        <v>162816</v>
      </c>
      <c r="BG245">
        <v>6729</v>
      </c>
    </row>
    <row r="246" spans="1:59" x14ac:dyDescent="0.3">
      <c r="A246" s="3">
        <v>45536</v>
      </c>
      <c r="B246" t="s">
        <v>68</v>
      </c>
      <c r="C246">
        <v>9</v>
      </c>
      <c r="D246">
        <v>951</v>
      </c>
      <c r="E246">
        <v>767</v>
      </c>
      <c r="F246">
        <v>17</v>
      </c>
      <c r="G246">
        <v>22</v>
      </c>
      <c r="H246">
        <v>31</v>
      </c>
      <c r="I246">
        <v>41</v>
      </c>
      <c r="J246">
        <v>1</v>
      </c>
      <c r="K246">
        <v>17</v>
      </c>
      <c r="L246">
        <v>34</v>
      </c>
      <c r="M246">
        <v>8</v>
      </c>
      <c r="N246">
        <v>43</v>
      </c>
      <c r="O246">
        <v>27</v>
      </c>
      <c r="P246">
        <v>28</v>
      </c>
      <c r="Q246">
        <v>31</v>
      </c>
      <c r="R246">
        <v>6</v>
      </c>
      <c r="S246">
        <v>39</v>
      </c>
      <c r="T246">
        <v>42</v>
      </c>
      <c r="U246">
        <v>1</v>
      </c>
      <c r="V246">
        <v>24</v>
      </c>
      <c r="W246">
        <v>38</v>
      </c>
      <c r="X246">
        <v>6</v>
      </c>
      <c r="Y246">
        <v>10</v>
      </c>
      <c r="Z246">
        <v>43</v>
      </c>
      <c r="AA246">
        <v>30</v>
      </c>
      <c r="AB246">
        <v>33</v>
      </c>
      <c r="AC246">
        <v>6</v>
      </c>
      <c r="AD246">
        <v>31</v>
      </c>
      <c r="AE246">
        <v>34</v>
      </c>
      <c r="AF246">
        <v>12</v>
      </c>
      <c r="AG246">
        <v>22</v>
      </c>
      <c r="AH246">
        <v>40</v>
      </c>
      <c r="AI246">
        <v>42</v>
      </c>
      <c r="AJ246">
        <v>33</v>
      </c>
      <c r="AK246">
        <v>25</v>
      </c>
      <c r="AL246">
        <v>39</v>
      </c>
      <c r="AM246">
        <v>8</v>
      </c>
      <c r="AN246">
        <v>37</v>
      </c>
      <c r="AO246">
        <v>33</v>
      </c>
      <c r="AP246">
        <v>12</v>
      </c>
      <c r="AQ246">
        <v>28</v>
      </c>
      <c r="AR246">
        <v>4</v>
      </c>
      <c r="AS246">
        <v>49</v>
      </c>
      <c r="AT246">
        <v>34</v>
      </c>
      <c r="AU246">
        <v>16</v>
      </c>
      <c r="AV246">
        <v>41</v>
      </c>
      <c r="AW246">
        <v>23</v>
      </c>
      <c r="AX246">
        <v>42</v>
      </c>
      <c r="AY246">
        <v>21</v>
      </c>
      <c r="AZ246">
        <v>13</v>
      </c>
      <c r="BA246">
        <v>5</v>
      </c>
      <c r="BB246">
        <v>4</v>
      </c>
      <c r="BC246">
        <v>4</v>
      </c>
      <c r="BD246">
        <v>33</v>
      </c>
      <c r="BE246">
        <v>38</v>
      </c>
      <c r="BF246">
        <v>163367</v>
      </c>
      <c r="BG246">
        <v>6741</v>
      </c>
    </row>
    <row r="247" spans="1:59" x14ac:dyDescent="0.3">
      <c r="A247" s="3">
        <v>45537</v>
      </c>
      <c r="B247" t="s">
        <v>68</v>
      </c>
      <c r="C247">
        <v>9</v>
      </c>
      <c r="D247">
        <v>952</v>
      </c>
      <c r="E247">
        <v>767</v>
      </c>
      <c r="F247">
        <v>41</v>
      </c>
      <c r="G247">
        <v>23</v>
      </c>
      <c r="H247">
        <v>19</v>
      </c>
      <c r="I247">
        <v>44</v>
      </c>
      <c r="J247">
        <v>37</v>
      </c>
      <c r="K247">
        <v>29</v>
      </c>
      <c r="L247">
        <v>28</v>
      </c>
      <c r="M247">
        <v>0</v>
      </c>
      <c r="N247">
        <v>7</v>
      </c>
      <c r="O247">
        <v>44</v>
      </c>
      <c r="P247">
        <v>15</v>
      </c>
      <c r="Q247">
        <v>11</v>
      </c>
      <c r="R247">
        <v>5</v>
      </c>
      <c r="S247">
        <v>2</v>
      </c>
      <c r="T247">
        <v>25</v>
      </c>
      <c r="U247">
        <v>5</v>
      </c>
      <c r="V247">
        <v>12</v>
      </c>
      <c r="W247">
        <v>10</v>
      </c>
      <c r="X247">
        <v>7</v>
      </c>
      <c r="Y247">
        <v>33</v>
      </c>
      <c r="Z247">
        <v>46</v>
      </c>
      <c r="AA247">
        <v>29</v>
      </c>
      <c r="AB247">
        <v>37</v>
      </c>
      <c r="AC247">
        <v>32</v>
      </c>
      <c r="AD247">
        <v>35</v>
      </c>
      <c r="AE247">
        <v>4</v>
      </c>
      <c r="AF247">
        <v>19</v>
      </c>
      <c r="AG247">
        <v>22</v>
      </c>
      <c r="AH247">
        <v>31</v>
      </c>
      <c r="AI247">
        <v>34</v>
      </c>
      <c r="AJ247">
        <v>31</v>
      </c>
      <c r="AK247">
        <v>16</v>
      </c>
      <c r="AL247">
        <v>48</v>
      </c>
      <c r="AM247">
        <v>48</v>
      </c>
      <c r="AN247">
        <v>42</v>
      </c>
      <c r="AO247">
        <v>44</v>
      </c>
      <c r="AP247">
        <v>10</v>
      </c>
      <c r="AQ247">
        <v>2</v>
      </c>
      <c r="AR247">
        <v>39</v>
      </c>
      <c r="AS247">
        <v>42</v>
      </c>
      <c r="AT247">
        <v>28</v>
      </c>
      <c r="AU247">
        <v>2</v>
      </c>
      <c r="AV247">
        <v>49</v>
      </c>
      <c r="AW247">
        <v>36</v>
      </c>
      <c r="AX247">
        <v>48</v>
      </c>
      <c r="AY247">
        <v>11</v>
      </c>
      <c r="AZ247">
        <v>41</v>
      </c>
      <c r="BA247">
        <v>13</v>
      </c>
      <c r="BB247">
        <v>41</v>
      </c>
      <c r="BC247">
        <v>8</v>
      </c>
      <c r="BD247">
        <v>0</v>
      </c>
      <c r="BE247">
        <v>19</v>
      </c>
      <c r="BF247">
        <v>163917</v>
      </c>
      <c r="BG247">
        <v>6753</v>
      </c>
    </row>
    <row r="248" spans="1:59" x14ac:dyDescent="0.3">
      <c r="A248" s="3">
        <v>45538</v>
      </c>
      <c r="B248" t="s">
        <v>68</v>
      </c>
      <c r="C248">
        <v>9</v>
      </c>
      <c r="D248">
        <v>954</v>
      </c>
      <c r="E248">
        <v>768</v>
      </c>
      <c r="F248">
        <v>46</v>
      </c>
      <c r="G248">
        <v>31</v>
      </c>
      <c r="H248">
        <v>29</v>
      </c>
      <c r="I248">
        <v>1</v>
      </c>
      <c r="J248">
        <v>9</v>
      </c>
      <c r="K248">
        <v>14</v>
      </c>
      <c r="L248">
        <v>25</v>
      </c>
      <c r="M248">
        <v>29</v>
      </c>
      <c r="N248">
        <v>43</v>
      </c>
      <c r="O248">
        <v>8</v>
      </c>
      <c r="P248">
        <v>38</v>
      </c>
      <c r="Q248">
        <v>12</v>
      </c>
      <c r="R248">
        <v>44</v>
      </c>
      <c r="S248">
        <v>7</v>
      </c>
      <c r="T248">
        <v>18</v>
      </c>
      <c r="U248">
        <v>40</v>
      </c>
      <c r="V248">
        <v>0</v>
      </c>
      <c r="W248">
        <v>49</v>
      </c>
      <c r="X248">
        <v>10</v>
      </c>
      <c r="Y248">
        <v>48</v>
      </c>
      <c r="Z248">
        <v>30</v>
      </c>
      <c r="AA248">
        <v>27</v>
      </c>
      <c r="AB248">
        <v>20</v>
      </c>
      <c r="AC248">
        <v>20</v>
      </c>
      <c r="AD248">
        <v>28</v>
      </c>
      <c r="AE248">
        <v>45</v>
      </c>
      <c r="AF248">
        <v>21</v>
      </c>
      <c r="AG248">
        <v>6</v>
      </c>
      <c r="AH248">
        <v>30</v>
      </c>
      <c r="AI248">
        <v>28</v>
      </c>
      <c r="AJ248">
        <v>3</v>
      </c>
      <c r="AK248">
        <v>48</v>
      </c>
      <c r="AL248">
        <v>38</v>
      </c>
      <c r="AM248">
        <v>43</v>
      </c>
      <c r="AN248">
        <v>43</v>
      </c>
      <c r="AO248">
        <v>34</v>
      </c>
      <c r="AP248">
        <v>18</v>
      </c>
      <c r="AQ248">
        <v>16</v>
      </c>
      <c r="AR248">
        <v>32</v>
      </c>
      <c r="AS248">
        <v>2</v>
      </c>
      <c r="AT248">
        <v>25</v>
      </c>
      <c r="AU248">
        <v>20</v>
      </c>
      <c r="AV248">
        <v>33</v>
      </c>
      <c r="AW248">
        <v>10</v>
      </c>
      <c r="AX248">
        <v>14</v>
      </c>
      <c r="AY248">
        <v>34</v>
      </c>
      <c r="AZ248">
        <v>18</v>
      </c>
      <c r="BA248">
        <v>46</v>
      </c>
      <c r="BB248">
        <v>32</v>
      </c>
      <c r="BC248">
        <v>4</v>
      </c>
      <c r="BD248">
        <v>28</v>
      </c>
      <c r="BE248">
        <v>11</v>
      </c>
      <c r="BF248">
        <v>164468</v>
      </c>
      <c r="BG248">
        <v>6765</v>
      </c>
    </row>
    <row r="249" spans="1:59" x14ac:dyDescent="0.3">
      <c r="A249" s="3">
        <v>45539</v>
      </c>
      <c r="B249" t="s">
        <v>68</v>
      </c>
      <c r="C249">
        <v>9</v>
      </c>
      <c r="D249">
        <v>956</v>
      </c>
      <c r="E249">
        <v>769</v>
      </c>
      <c r="F249">
        <v>41</v>
      </c>
      <c r="G249">
        <v>12</v>
      </c>
      <c r="H249">
        <v>6</v>
      </c>
      <c r="I249">
        <v>20</v>
      </c>
      <c r="J249">
        <v>32</v>
      </c>
      <c r="K249">
        <v>42</v>
      </c>
      <c r="L249">
        <v>7</v>
      </c>
      <c r="M249">
        <v>24</v>
      </c>
      <c r="N249">
        <v>13</v>
      </c>
      <c r="O249">
        <v>2</v>
      </c>
      <c r="P249">
        <v>34</v>
      </c>
      <c r="Q249">
        <v>39</v>
      </c>
      <c r="R249">
        <v>35</v>
      </c>
      <c r="S249">
        <v>38</v>
      </c>
      <c r="T249">
        <v>18</v>
      </c>
      <c r="U249">
        <v>35</v>
      </c>
      <c r="V249">
        <v>14</v>
      </c>
      <c r="W249">
        <v>5</v>
      </c>
      <c r="X249">
        <v>22</v>
      </c>
      <c r="Y249">
        <v>10</v>
      </c>
      <c r="Z249">
        <v>7</v>
      </c>
      <c r="AA249">
        <v>3</v>
      </c>
      <c r="AB249">
        <v>29</v>
      </c>
      <c r="AC249">
        <v>38</v>
      </c>
      <c r="AD249">
        <v>15</v>
      </c>
      <c r="AE249">
        <v>25</v>
      </c>
      <c r="AF249">
        <v>6</v>
      </c>
      <c r="AG249">
        <v>37</v>
      </c>
      <c r="AH249">
        <v>1</v>
      </c>
      <c r="AI249">
        <v>24</v>
      </c>
      <c r="AJ249">
        <v>45</v>
      </c>
      <c r="AK249">
        <v>37</v>
      </c>
      <c r="AL249">
        <v>47</v>
      </c>
      <c r="AM249">
        <v>47</v>
      </c>
      <c r="AN249">
        <v>23</v>
      </c>
      <c r="AO249">
        <v>33</v>
      </c>
      <c r="AP249">
        <v>29</v>
      </c>
      <c r="AQ249">
        <v>38</v>
      </c>
      <c r="AR249">
        <v>31</v>
      </c>
      <c r="AS249">
        <v>26</v>
      </c>
      <c r="AT249">
        <v>11</v>
      </c>
      <c r="AU249">
        <v>3</v>
      </c>
      <c r="AV249">
        <v>36</v>
      </c>
      <c r="AW249">
        <v>18</v>
      </c>
      <c r="AX249">
        <v>12</v>
      </c>
      <c r="AY249">
        <v>16</v>
      </c>
      <c r="AZ249">
        <v>41</v>
      </c>
      <c r="BA249">
        <v>42</v>
      </c>
      <c r="BB249">
        <v>10</v>
      </c>
      <c r="BC249">
        <v>0</v>
      </c>
      <c r="BD249">
        <v>46</v>
      </c>
      <c r="BE249">
        <v>5</v>
      </c>
      <c r="BF249">
        <v>165019</v>
      </c>
      <c r="BG249">
        <v>6777</v>
      </c>
    </row>
    <row r="250" spans="1:59" x14ac:dyDescent="0.3">
      <c r="A250" s="3">
        <v>45540</v>
      </c>
      <c r="B250" t="s">
        <v>68</v>
      </c>
      <c r="C250">
        <v>9</v>
      </c>
      <c r="D250">
        <v>957</v>
      </c>
      <c r="E250">
        <v>769</v>
      </c>
      <c r="F250">
        <v>46</v>
      </c>
      <c r="G250">
        <v>32</v>
      </c>
      <c r="H250">
        <v>8</v>
      </c>
      <c r="I250">
        <v>4</v>
      </c>
      <c r="J250">
        <v>18</v>
      </c>
      <c r="K250">
        <v>36</v>
      </c>
      <c r="L250">
        <v>20</v>
      </c>
      <c r="M250">
        <v>25</v>
      </c>
      <c r="N250">
        <v>31</v>
      </c>
      <c r="O250">
        <v>1</v>
      </c>
      <c r="P250">
        <v>15</v>
      </c>
      <c r="Q250">
        <v>0</v>
      </c>
      <c r="R250">
        <v>42</v>
      </c>
      <c r="S250">
        <v>43</v>
      </c>
      <c r="T250">
        <v>45</v>
      </c>
      <c r="U250">
        <v>39</v>
      </c>
      <c r="V250">
        <v>44</v>
      </c>
      <c r="W250">
        <v>20</v>
      </c>
      <c r="X250">
        <v>31</v>
      </c>
      <c r="Y250">
        <v>43</v>
      </c>
      <c r="Z250">
        <v>32</v>
      </c>
      <c r="AA250">
        <v>37</v>
      </c>
      <c r="AB250">
        <v>0</v>
      </c>
      <c r="AC250">
        <v>1</v>
      </c>
      <c r="AD250">
        <v>21</v>
      </c>
      <c r="AE250">
        <v>39</v>
      </c>
      <c r="AF250">
        <v>16</v>
      </c>
      <c r="AG250">
        <v>34</v>
      </c>
      <c r="AH250">
        <v>7</v>
      </c>
      <c r="AI250">
        <v>0</v>
      </c>
      <c r="AJ250">
        <v>35</v>
      </c>
      <c r="AK250">
        <v>5</v>
      </c>
      <c r="AL250">
        <v>17</v>
      </c>
      <c r="AM250">
        <v>35</v>
      </c>
      <c r="AN250">
        <v>31</v>
      </c>
      <c r="AO250">
        <v>29</v>
      </c>
      <c r="AP250">
        <v>26</v>
      </c>
      <c r="AQ250">
        <v>4</v>
      </c>
      <c r="AR250">
        <v>8</v>
      </c>
      <c r="AS250">
        <v>31</v>
      </c>
      <c r="AT250">
        <v>5</v>
      </c>
      <c r="AU250">
        <v>41</v>
      </c>
      <c r="AV250">
        <v>9</v>
      </c>
      <c r="AW250">
        <v>35</v>
      </c>
      <c r="AX250">
        <v>20</v>
      </c>
      <c r="AY250">
        <v>36</v>
      </c>
      <c r="AZ250">
        <v>48</v>
      </c>
      <c r="BA250">
        <v>15</v>
      </c>
      <c r="BB250">
        <v>36</v>
      </c>
      <c r="BC250">
        <v>41</v>
      </c>
      <c r="BD250">
        <v>42</v>
      </c>
      <c r="BE250">
        <v>12</v>
      </c>
      <c r="BF250">
        <v>165569</v>
      </c>
      <c r="BG250">
        <v>6789</v>
      </c>
    </row>
    <row r="251" spans="1:59" x14ac:dyDescent="0.3">
      <c r="A251" s="3">
        <v>45541</v>
      </c>
      <c r="B251" t="s">
        <v>68</v>
      </c>
      <c r="C251">
        <v>9</v>
      </c>
      <c r="D251">
        <v>959</v>
      </c>
      <c r="E251">
        <v>770</v>
      </c>
      <c r="F251">
        <v>3</v>
      </c>
      <c r="G251">
        <v>32</v>
      </c>
      <c r="H251">
        <v>3</v>
      </c>
      <c r="I251">
        <v>35</v>
      </c>
      <c r="J251">
        <v>15</v>
      </c>
      <c r="K251">
        <v>15</v>
      </c>
      <c r="L251">
        <v>38</v>
      </c>
      <c r="M251">
        <v>34</v>
      </c>
      <c r="N251">
        <v>35</v>
      </c>
      <c r="O251">
        <v>43</v>
      </c>
      <c r="P251">
        <v>43</v>
      </c>
      <c r="Q251">
        <v>7</v>
      </c>
      <c r="R251">
        <v>18</v>
      </c>
      <c r="S251">
        <v>12</v>
      </c>
      <c r="T251">
        <v>9</v>
      </c>
      <c r="U251">
        <v>36</v>
      </c>
      <c r="V251">
        <v>43</v>
      </c>
      <c r="W251">
        <v>5</v>
      </c>
      <c r="X251">
        <v>15</v>
      </c>
      <c r="Y251">
        <v>3</v>
      </c>
      <c r="Z251">
        <v>1</v>
      </c>
      <c r="AA251">
        <v>14</v>
      </c>
      <c r="AB251">
        <v>39</v>
      </c>
      <c r="AC251">
        <v>6</v>
      </c>
      <c r="AD251">
        <v>36</v>
      </c>
      <c r="AE251">
        <v>29</v>
      </c>
      <c r="AF251">
        <v>39</v>
      </c>
      <c r="AG251">
        <v>23</v>
      </c>
      <c r="AH251">
        <v>48</v>
      </c>
      <c r="AI251">
        <v>26</v>
      </c>
      <c r="AJ251">
        <v>42</v>
      </c>
      <c r="AK251">
        <v>25</v>
      </c>
      <c r="AL251">
        <v>48</v>
      </c>
      <c r="AM251">
        <v>9</v>
      </c>
      <c r="AN251">
        <v>16</v>
      </c>
      <c r="AO251">
        <v>20</v>
      </c>
      <c r="AP251">
        <v>44</v>
      </c>
      <c r="AQ251">
        <v>29</v>
      </c>
      <c r="AR251">
        <v>2</v>
      </c>
      <c r="AS251">
        <v>12</v>
      </c>
      <c r="AT251">
        <v>19</v>
      </c>
      <c r="AU251">
        <v>43</v>
      </c>
      <c r="AV251">
        <v>18</v>
      </c>
      <c r="AW251">
        <v>19</v>
      </c>
      <c r="AX251">
        <v>15</v>
      </c>
      <c r="AY251">
        <v>34</v>
      </c>
      <c r="AZ251">
        <v>21</v>
      </c>
      <c r="BA251">
        <v>6</v>
      </c>
      <c r="BB251">
        <v>14</v>
      </c>
      <c r="BC251">
        <v>38</v>
      </c>
      <c r="BD251">
        <v>14</v>
      </c>
      <c r="BE251">
        <v>3</v>
      </c>
      <c r="BF251">
        <v>166120</v>
      </c>
      <c r="BG251">
        <v>6801</v>
      </c>
    </row>
    <row r="252" spans="1:59" x14ac:dyDescent="0.3">
      <c r="A252" s="3">
        <v>45542</v>
      </c>
      <c r="B252" t="s">
        <v>68</v>
      </c>
      <c r="C252">
        <v>9</v>
      </c>
      <c r="D252">
        <v>960</v>
      </c>
      <c r="E252">
        <v>771</v>
      </c>
      <c r="F252">
        <v>21</v>
      </c>
      <c r="G252">
        <v>6</v>
      </c>
      <c r="H252">
        <v>42</v>
      </c>
      <c r="I252">
        <v>19</v>
      </c>
      <c r="J252">
        <v>9</v>
      </c>
      <c r="K252">
        <v>12</v>
      </c>
      <c r="L252">
        <v>10</v>
      </c>
      <c r="M252">
        <v>40</v>
      </c>
      <c r="N252">
        <v>13</v>
      </c>
      <c r="O252">
        <v>18</v>
      </c>
      <c r="P252">
        <v>46</v>
      </c>
      <c r="Q252">
        <v>2</v>
      </c>
      <c r="R252">
        <v>31</v>
      </c>
      <c r="S252">
        <v>43</v>
      </c>
      <c r="T252">
        <v>22</v>
      </c>
      <c r="U252">
        <v>10</v>
      </c>
      <c r="V252">
        <v>6</v>
      </c>
      <c r="W252">
        <v>23</v>
      </c>
      <c r="X252">
        <v>17</v>
      </c>
      <c r="Y252">
        <v>40</v>
      </c>
      <c r="Z252">
        <v>1</v>
      </c>
      <c r="AA252">
        <v>26</v>
      </c>
      <c r="AB252">
        <v>31</v>
      </c>
      <c r="AC252">
        <v>43</v>
      </c>
      <c r="AD252">
        <v>6</v>
      </c>
      <c r="AE252">
        <v>47</v>
      </c>
      <c r="AF252">
        <v>47</v>
      </c>
      <c r="AG252">
        <v>28</v>
      </c>
      <c r="AH252">
        <v>32</v>
      </c>
      <c r="AI252">
        <v>24</v>
      </c>
      <c r="AJ252">
        <v>18</v>
      </c>
      <c r="AK252">
        <v>8</v>
      </c>
      <c r="AL252">
        <v>33</v>
      </c>
      <c r="AM252">
        <v>28</v>
      </c>
      <c r="AN252">
        <v>7</v>
      </c>
      <c r="AO252">
        <v>18</v>
      </c>
      <c r="AP252">
        <v>46</v>
      </c>
      <c r="AQ252">
        <v>1</v>
      </c>
      <c r="AR252">
        <v>48</v>
      </c>
      <c r="AS252">
        <v>11</v>
      </c>
      <c r="AT252">
        <v>17</v>
      </c>
      <c r="AU252">
        <v>41</v>
      </c>
      <c r="AV252">
        <v>17</v>
      </c>
      <c r="AW252">
        <v>13</v>
      </c>
      <c r="AX252">
        <v>40</v>
      </c>
      <c r="AY252">
        <v>17</v>
      </c>
      <c r="AZ252">
        <v>9</v>
      </c>
      <c r="BA252">
        <v>38</v>
      </c>
      <c r="BB252">
        <v>47</v>
      </c>
      <c r="BC252">
        <v>2</v>
      </c>
      <c r="BD252">
        <v>11</v>
      </c>
      <c r="BE252">
        <v>27</v>
      </c>
      <c r="BF252">
        <v>166671</v>
      </c>
      <c r="BG252">
        <v>6813</v>
      </c>
    </row>
    <row r="253" spans="1:59" x14ac:dyDescent="0.3">
      <c r="A253" s="3">
        <v>45543</v>
      </c>
      <c r="B253" t="s">
        <v>68</v>
      </c>
      <c r="C253">
        <v>9</v>
      </c>
      <c r="D253">
        <v>962</v>
      </c>
      <c r="E253">
        <v>771</v>
      </c>
      <c r="F253">
        <v>40</v>
      </c>
      <c r="G253">
        <v>48</v>
      </c>
      <c r="H253">
        <v>8</v>
      </c>
      <c r="I253">
        <v>47</v>
      </c>
      <c r="J253">
        <v>12</v>
      </c>
      <c r="K253">
        <v>34</v>
      </c>
      <c r="L253">
        <v>18</v>
      </c>
      <c r="M253">
        <v>46</v>
      </c>
      <c r="N253">
        <v>30</v>
      </c>
      <c r="O253">
        <v>39</v>
      </c>
      <c r="P253">
        <v>1</v>
      </c>
      <c r="Q253">
        <v>26</v>
      </c>
      <c r="R253">
        <v>9</v>
      </c>
      <c r="S253">
        <v>48</v>
      </c>
      <c r="T253">
        <v>47</v>
      </c>
      <c r="U253">
        <v>46</v>
      </c>
      <c r="V253">
        <v>32</v>
      </c>
      <c r="W253">
        <v>21</v>
      </c>
      <c r="X253">
        <v>0</v>
      </c>
      <c r="Y253">
        <v>6</v>
      </c>
      <c r="Z253">
        <v>11</v>
      </c>
      <c r="AA253">
        <v>48</v>
      </c>
      <c r="AB253">
        <v>27</v>
      </c>
      <c r="AC253">
        <v>4</v>
      </c>
      <c r="AD253">
        <v>7</v>
      </c>
      <c r="AE253">
        <v>34</v>
      </c>
      <c r="AF253">
        <v>21</v>
      </c>
      <c r="AG253">
        <v>18</v>
      </c>
      <c r="AH253">
        <v>20</v>
      </c>
      <c r="AI253">
        <v>49</v>
      </c>
      <c r="AJ253">
        <v>47</v>
      </c>
      <c r="AK253">
        <v>14</v>
      </c>
      <c r="AL253">
        <v>42</v>
      </c>
      <c r="AM253">
        <v>9</v>
      </c>
      <c r="AN253">
        <v>26</v>
      </c>
      <c r="AO253">
        <v>48</v>
      </c>
      <c r="AP253">
        <v>34</v>
      </c>
      <c r="AQ253">
        <v>40</v>
      </c>
      <c r="AR253">
        <v>0</v>
      </c>
      <c r="AS253">
        <v>40</v>
      </c>
      <c r="AT253">
        <v>42</v>
      </c>
      <c r="AU253">
        <v>11</v>
      </c>
      <c r="AV253">
        <v>36</v>
      </c>
      <c r="AW253">
        <v>3</v>
      </c>
      <c r="AX253">
        <v>7</v>
      </c>
      <c r="AY253">
        <v>22</v>
      </c>
      <c r="AZ253">
        <v>8</v>
      </c>
      <c r="BA253">
        <v>7</v>
      </c>
      <c r="BB253">
        <v>13</v>
      </c>
      <c r="BC253">
        <v>44</v>
      </c>
      <c r="BD253">
        <v>45</v>
      </c>
      <c r="BE253">
        <v>38</v>
      </c>
      <c r="BF253">
        <v>167221</v>
      </c>
      <c r="BG253">
        <v>6825</v>
      </c>
    </row>
    <row r="254" spans="1:59" x14ac:dyDescent="0.3">
      <c r="A254" s="3">
        <v>45544</v>
      </c>
      <c r="B254" t="s">
        <v>68</v>
      </c>
      <c r="C254">
        <v>9</v>
      </c>
      <c r="D254">
        <v>964</v>
      </c>
      <c r="E254">
        <v>772</v>
      </c>
      <c r="F254">
        <v>25</v>
      </c>
      <c r="G254">
        <v>16</v>
      </c>
      <c r="H254">
        <v>16</v>
      </c>
      <c r="I254">
        <v>31</v>
      </c>
      <c r="J254">
        <v>33</v>
      </c>
      <c r="K254">
        <v>20</v>
      </c>
      <c r="L254">
        <v>1</v>
      </c>
      <c r="M254">
        <v>7</v>
      </c>
      <c r="N254">
        <v>1</v>
      </c>
      <c r="O254">
        <v>1</v>
      </c>
      <c r="P254">
        <v>19</v>
      </c>
      <c r="Q254">
        <v>46</v>
      </c>
      <c r="R254">
        <v>8</v>
      </c>
      <c r="S254">
        <v>23</v>
      </c>
      <c r="T254">
        <v>30</v>
      </c>
      <c r="U254">
        <v>10</v>
      </c>
      <c r="V254">
        <v>48</v>
      </c>
      <c r="W254">
        <v>12</v>
      </c>
      <c r="X254">
        <v>0</v>
      </c>
      <c r="Y254">
        <v>8</v>
      </c>
      <c r="Z254">
        <v>8</v>
      </c>
      <c r="AA254">
        <v>2</v>
      </c>
      <c r="AB254">
        <v>19</v>
      </c>
      <c r="AC254">
        <v>14</v>
      </c>
      <c r="AD254">
        <v>30</v>
      </c>
      <c r="AE254">
        <v>29</v>
      </c>
      <c r="AF254">
        <v>45</v>
      </c>
      <c r="AG254">
        <v>4</v>
      </c>
      <c r="AH254">
        <v>34</v>
      </c>
      <c r="AI254">
        <v>22</v>
      </c>
      <c r="AJ254">
        <v>32</v>
      </c>
      <c r="AK254">
        <v>5</v>
      </c>
      <c r="AL254">
        <v>8</v>
      </c>
      <c r="AM254">
        <v>26</v>
      </c>
      <c r="AN254">
        <v>8</v>
      </c>
      <c r="AO254">
        <v>12</v>
      </c>
      <c r="AP254">
        <v>17</v>
      </c>
      <c r="AQ254">
        <v>43</v>
      </c>
      <c r="AR254">
        <v>28</v>
      </c>
      <c r="AS254">
        <v>13</v>
      </c>
      <c r="AT254">
        <v>45</v>
      </c>
      <c r="AU254">
        <v>48</v>
      </c>
      <c r="AV254">
        <v>45</v>
      </c>
      <c r="AW254">
        <v>15</v>
      </c>
      <c r="AX254">
        <v>38</v>
      </c>
      <c r="AY254">
        <v>28</v>
      </c>
      <c r="AZ254">
        <v>47</v>
      </c>
      <c r="BA254">
        <v>18</v>
      </c>
      <c r="BB254">
        <v>26</v>
      </c>
      <c r="BC254">
        <v>41</v>
      </c>
      <c r="BD254">
        <v>32</v>
      </c>
      <c r="BE254">
        <v>44</v>
      </c>
      <c r="BF254">
        <v>167772</v>
      </c>
      <c r="BG254">
        <v>6837</v>
      </c>
    </row>
    <row r="255" spans="1:59" x14ac:dyDescent="0.3">
      <c r="A255" s="3">
        <v>45545</v>
      </c>
      <c r="B255" t="s">
        <v>68</v>
      </c>
      <c r="C255">
        <v>9</v>
      </c>
      <c r="D255">
        <v>965</v>
      </c>
      <c r="E255">
        <v>773</v>
      </c>
      <c r="F255">
        <v>6</v>
      </c>
      <c r="G255">
        <v>46</v>
      </c>
      <c r="H255">
        <v>34</v>
      </c>
      <c r="I255">
        <v>17</v>
      </c>
      <c r="J255">
        <v>21</v>
      </c>
      <c r="K255">
        <v>10</v>
      </c>
      <c r="L255">
        <v>43</v>
      </c>
      <c r="M255">
        <v>4</v>
      </c>
      <c r="N255">
        <v>46</v>
      </c>
      <c r="O255">
        <v>42</v>
      </c>
      <c r="P255">
        <v>29</v>
      </c>
      <c r="Q255">
        <v>37</v>
      </c>
      <c r="R255">
        <v>36</v>
      </c>
      <c r="S255">
        <v>30</v>
      </c>
      <c r="T255">
        <v>6</v>
      </c>
      <c r="U255">
        <v>23</v>
      </c>
      <c r="V255">
        <v>34</v>
      </c>
      <c r="W255">
        <v>5</v>
      </c>
      <c r="X255">
        <v>13</v>
      </c>
      <c r="Y255">
        <v>20</v>
      </c>
      <c r="Z255">
        <v>4</v>
      </c>
      <c r="AA255">
        <v>44</v>
      </c>
      <c r="AB255">
        <v>23</v>
      </c>
      <c r="AC255">
        <v>47</v>
      </c>
      <c r="AD255">
        <v>46</v>
      </c>
      <c r="AE255">
        <v>5</v>
      </c>
      <c r="AF255">
        <v>12</v>
      </c>
      <c r="AG255">
        <v>49</v>
      </c>
      <c r="AH255">
        <v>9</v>
      </c>
      <c r="AI255">
        <v>37</v>
      </c>
      <c r="AJ255">
        <v>12</v>
      </c>
      <c r="AK255">
        <v>38</v>
      </c>
      <c r="AL255">
        <v>22</v>
      </c>
      <c r="AM255">
        <v>19</v>
      </c>
      <c r="AN255">
        <v>23</v>
      </c>
      <c r="AO255">
        <v>15</v>
      </c>
      <c r="AP255">
        <v>16</v>
      </c>
      <c r="AQ255">
        <v>48</v>
      </c>
      <c r="AR255">
        <v>3</v>
      </c>
      <c r="AS255">
        <v>45</v>
      </c>
      <c r="AT255">
        <v>27</v>
      </c>
      <c r="AU255">
        <v>12</v>
      </c>
      <c r="AV255">
        <v>32</v>
      </c>
      <c r="AW255">
        <v>25</v>
      </c>
      <c r="AX255">
        <v>7</v>
      </c>
      <c r="AY255">
        <v>38</v>
      </c>
      <c r="AZ255">
        <v>29</v>
      </c>
      <c r="BA255">
        <v>41</v>
      </c>
      <c r="BB255">
        <v>40</v>
      </c>
      <c r="BC255">
        <v>33</v>
      </c>
      <c r="BD255">
        <v>24</v>
      </c>
      <c r="BE255">
        <v>48</v>
      </c>
      <c r="BF255">
        <v>168323</v>
      </c>
      <c r="BG255">
        <v>6849</v>
      </c>
    </row>
    <row r="256" spans="1:59" x14ac:dyDescent="0.3">
      <c r="A256" s="3">
        <v>45546</v>
      </c>
      <c r="B256" t="s">
        <v>68</v>
      </c>
      <c r="C256">
        <v>9</v>
      </c>
      <c r="D256">
        <v>967</v>
      </c>
      <c r="E256">
        <v>773</v>
      </c>
      <c r="F256">
        <v>18</v>
      </c>
      <c r="G256">
        <v>41</v>
      </c>
      <c r="H256">
        <v>2</v>
      </c>
      <c r="I256">
        <v>13</v>
      </c>
      <c r="J256">
        <v>0</v>
      </c>
      <c r="K256">
        <v>24</v>
      </c>
      <c r="L256">
        <v>37</v>
      </c>
      <c r="M256">
        <v>24</v>
      </c>
      <c r="N256">
        <v>30</v>
      </c>
      <c r="O256">
        <v>8</v>
      </c>
      <c r="P256">
        <v>34</v>
      </c>
      <c r="Q256">
        <v>40</v>
      </c>
      <c r="R256">
        <v>48</v>
      </c>
      <c r="S256">
        <v>31</v>
      </c>
      <c r="T256">
        <v>5</v>
      </c>
      <c r="U256">
        <v>25</v>
      </c>
      <c r="V256">
        <v>19</v>
      </c>
      <c r="W256">
        <v>9</v>
      </c>
      <c r="X256">
        <v>44</v>
      </c>
      <c r="Y256">
        <v>49</v>
      </c>
      <c r="Z256">
        <v>27</v>
      </c>
      <c r="AA256">
        <v>10</v>
      </c>
      <c r="AB256">
        <v>48</v>
      </c>
      <c r="AC256">
        <v>19</v>
      </c>
      <c r="AD256">
        <v>46</v>
      </c>
      <c r="AE256">
        <v>24</v>
      </c>
      <c r="AF256">
        <v>33</v>
      </c>
      <c r="AG256">
        <v>1</v>
      </c>
      <c r="AH256">
        <v>4</v>
      </c>
      <c r="AI256">
        <v>47</v>
      </c>
      <c r="AJ256">
        <v>47</v>
      </c>
      <c r="AK256">
        <v>10</v>
      </c>
      <c r="AL256">
        <v>35</v>
      </c>
      <c r="AM256">
        <v>2</v>
      </c>
      <c r="AN256">
        <v>24</v>
      </c>
      <c r="AO256">
        <v>42</v>
      </c>
      <c r="AP256">
        <v>46</v>
      </c>
      <c r="AQ256">
        <v>47</v>
      </c>
      <c r="AR256">
        <v>11</v>
      </c>
      <c r="AS256">
        <v>15</v>
      </c>
      <c r="AT256">
        <v>2</v>
      </c>
      <c r="AU256">
        <v>8</v>
      </c>
      <c r="AV256">
        <v>46</v>
      </c>
      <c r="AW256">
        <v>18</v>
      </c>
      <c r="AX256">
        <v>7</v>
      </c>
      <c r="AY256">
        <v>27</v>
      </c>
      <c r="AZ256">
        <v>24</v>
      </c>
      <c r="BA256">
        <v>44</v>
      </c>
      <c r="BB256">
        <v>7</v>
      </c>
      <c r="BC256">
        <v>13</v>
      </c>
      <c r="BD256">
        <v>41</v>
      </c>
      <c r="BE256">
        <v>13</v>
      </c>
      <c r="BF256">
        <v>168873</v>
      </c>
      <c r="BG256">
        <v>6861</v>
      </c>
    </row>
    <row r="257" spans="1:59" x14ac:dyDescent="0.3">
      <c r="A257" s="3">
        <v>45547</v>
      </c>
      <c r="B257" t="s">
        <v>68</v>
      </c>
      <c r="C257">
        <v>9</v>
      </c>
      <c r="D257">
        <v>969</v>
      </c>
      <c r="E257">
        <v>774</v>
      </c>
      <c r="F257">
        <v>48</v>
      </c>
      <c r="G257">
        <v>10</v>
      </c>
      <c r="H257">
        <v>15</v>
      </c>
      <c r="I257">
        <v>4</v>
      </c>
      <c r="J257">
        <v>10</v>
      </c>
      <c r="K257">
        <v>14</v>
      </c>
      <c r="L257">
        <v>34</v>
      </c>
      <c r="M257">
        <v>35</v>
      </c>
      <c r="N257">
        <v>22</v>
      </c>
      <c r="O257">
        <v>11</v>
      </c>
      <c r="P257">
        <v>9</v>
      </c>
      <c r="Q257">
        <v>11</v>
      </c>
      <c r="R257">
        <v>47</v>
      </c>
      <c r="S257">
        <v>8</v>
      </c>
      <c r="T257">
        <v>14</v>
      </c>
      <c r="U257">
        <v>36</v>
      </c>
      <c r="V257">
        <v>34</v>
      </c>
      <c r="W257">
        <v>33</v>
      </c>
      <c r="X257">
        <v>23</v>
      </c>
      <c r="Y257">
        <v>35</v>
      </c>
      <c r="Z257">
        <v>37</v>
      </c>
      <c r="AA257">
        <v>24</v>
      </c>
      <c r="AB257">
        <v>43</v>
      </c>
      <c r="AC257">
        <v>28</v>
      </c>
      <c r="AD257">
        <v>6</v>
      </c>
      <c r="AE257">
        <v>4</v>
      </c>
      <c r="AF257">
        <v>15</v>
      </c>
      <c r="AG257">
        <v>17</v>
      </c>
      <c r="AH257">
        <v>30</v>
      </c>
      <c r="AI257">
        <v>36</v>
      </c>
      <c r="AJ257">
        <v>37</v>
      </c>
      <c r="AK257">
        <v>47</v>
      </c>
      <c r="AL257">
        <v>0</v>
      </c>
      <c r="AM257">
        <v>36</v>
      </c>
      <c r="AN257">
        <v>48</v>
      </c>
      <c r="AO257">
        <v>7</v>
      </c>
      <c r="AP257">
        <v>2</v>
      </c>
      <c r="AQ257">
        <v>4</v>
      </c>
      <c r="AR257">
        <v>5</v>
      </c>
      <c r="AS257">
        <v>42</v>
      </c>
      <c r="AT257">
        <v>31</v>
      </c>
      <c r="AU257">
        <v>40</v>
      </c>
      <c r="AV257">
        <v>15</v>
      </c>
      <c r="AW257">
        <v>31</v>
      </c>
      <c r="AX257">
        <v>21</v>
      </c>
      <c r="AY257">
        <v>46</v>
      </c>
      <c r="AZ257">
        <v>10</v>
      </c>
      <c r="BA257">
        <v>48</v>
      </c>
      <c r="BB257">
        <v>48</v>
      </c>
      <c r="BC257">
        <v>47</v>
      </c>
      <c r="BD257">
        <v>44</v>
      </c>
      <c r="BE257">
        <v>24</v>
      </c>
      <c r="BF257">
        <v>169424</v>
      </c>
      <c r="BG257">
        <v>6873</v>
      </c>
    </row>
    <row r="258" spans="1:59" x14ac:dyDescent="0.3">
      <c r="A258" s="3">
        <v>45548</v>
      </c>
      <c r="B258" t="s">
        <v>68</v>
      </c>
      <c r="C258">
        <v>9</v>
      </c>
      <c r="D258">
        <v>970</v>
      </c>
      <c r="E258">
        <v>775</v>
      </c>
      <c r="F258">
        <v>48</v>
      </c>
      <c r="G258">
        <v>21</v>
      </c>
      <c r="H258">
        <v>12</v>
      </c>
      <c r="I258">
        <v>45</v>
      </c>
      <c r="J258">
        <v>18</v>
      </c>
      <c r="K258">
        <v>11</v>
      </c>
      <c r="L258">
        <v>1</v>
      </c>
      <c r="M258">
        <v>33</v>
      </c>
      <c r="N258">
        <v>23</v>
      </c>
      <c r="O258">
        <v>12</v>
      </c>
      <c r="P258">
        <v>34</v>
      </c>
      <c r="Q258">
        <v>49</v>
      </c>
      <c r="R258">
        <v>0</v>
      </c>
      <c r="S258">
        <v>33</v>
      </c>
      <c r="T258">
        <v>45</v>
      </c>
      <c r="U258">
        <v>27</v>
      </c>
      <c r="V258">
        <v>8</v>
      </c>
      <c r="W258">
        <v>41</v>
      </c>
      <c r="X258">
        <v>10</v>
      </c>
      <c r="Y258">
        <v>14</v>
      </c>
      <c r="Z258">
        <v>39</v>
      </c>
      <c r="AA258">
        <v>6</v>
      </c>
      <c r="AB258">
        <v>21</v>
      </c>
      <c r="AC258">
        <v>37</v>
      </c>
      <c r="AD258">
        <v>0</v>
      </c>
      <c r="AE258">
        <v>8</v>
      </c>
      <c r="AF258">
        <v>2</v>
      </c>
      <c r="AG258">
        <v>7</v>
      </c>
      <c r="AH258">
        <v>37</v>
      </c>
      <c r="AI258">
        <v>14</v>
      </c>
      <c r="AJ258">
        <v>30</v>
      </c>
      <c r="AK258">
        <v>3</v>
      </c>
      <c r="AL258">
        <v>7</v>
      </c>
      <c r="AM258">
        <v>26</v>
      </c>
      <c r="AN258">
        <v>35</v>
      </c>
      <c r="AO258">
        <v>17</v>
      </c>
      <c r="AP258">
        <v>32</v>
      </c>
      <c r="AQ258">
        <v>26</v>
      </c>
      <c r="AR258">
        <v>20</v>
      </c>
      <c r="AS258">
        <v>40</v>
      </c>
      <c r="AT258">
        <v>27</v>
      </c>
      <c r="AU258">
        <v>38</v>
      </c>
      <c r="AV258">
        <v>17</v>
      </c>
      <c r="AW258">
        <v>20</v>
      </c>
      <c r="AX258">
        <v>29</v>
      </c>
      <c r="AY258">
        <v>5</v>
      </c>
      <c r="AZ258">
        <v>40</v>
      </c>
      <c r="BA258">
        <v>45</v>
      </c>
      <c r="BB258">
        <v>4</v>
      </c>
      <c r="BC258">
        <v>5</v>
      </c>
      <c r="BD258">
        <v>41</v>
      </c>
      <c r="BE258">
        <v>40</v>
      </c>
      <c r="BF258">
        <v>169975</v>
      </c>
      <c r="BG258">
        <v>6886</v>
      </c>
    </row>
    <row r="259" spans="1:59" x14ac:dyDescent="0.3">
      <c r="A259" s="3">
        <v>45549</v>
      </c>
      <c r="B259" t="s">
        <v>68</v>
      </c>
      <c r="C259">
        <v>9</v>
      </c>
      <c r="D259">
        <v>972</v>
      </c>
      <c r="E259">
        <v>776</v>
      </c>
      <c r="F259">
        <v>24</v>
      </c>
      <c r="G259">
        <v>12</v>
      </c>
      <c r="H259">
        <v>42</v>
      </c>
      <c r="I259">
        <v>25</v>
      </c>
      <c r="J259">
        <v>30</v>
      </c>
      <c r="K259">
        <v>26</v>
      </c>
      <c r="L259">
        <v>29</v>
      </c>
      <c r="M259">
        <v>44</v>
      </c>
      <c r="N259">
        <v>20</v>
      </c>
      <c r="O259">
        <v>47</v>
      </c>
      <c r="P259">
        <v>35</v>
      </c>
      <c r="Q259">
        <v>18</v>
      </c>
      <c r="R259">
        <v>24</v>
      </c>
      <c r="S259">
        <v>48</v>
      </c>
      <c r="T259">
        <v>45</v>
      </c>
      <c r="U259">
        <v>19</v>
      </c>
      <c r="V259">
        <v>20</v>
      </c>
      <c r="W259">
        <v>39</v>
      </c>
      <c r="X259">
        <v>30</v>
      </c>
      <c r="Y259">
        <v>26</v>
      </c>
      <c r="Z259">
        <v>30</v>
      </c>
      <c r="AA259">
        <v>21</v>
      </c>
      <c r="AB259">
        <v>21</v>
      </c>
      <c r="AC259">
        <v>14</v>
      </c>
      <c r="AD259">
        <v>20</v>
      </c>
      <c r="AE259">
        <v>42</v>
      </c>
      <c r="AF259">
        <v>49</v>
      </c>
      <c r="AG259">
        <v>34</v>
      </c>
      <c r="AH259">
        <v>14</v>
      </c>
      <c r="AI259">
        <v>34</v>
      </c>
      <c r="AJ259">
        <v>26</v>
      </c>
      <c r="AK259">
        <v>29</v>
      </c>
      <c r="AL259">
        <v>35</v>
      </c>
      <c r="AM259">
        <v>32</v>
      </c>
      <c r="AN259">
        <v>12</v>
      </c>
      <c r="AO259">
        <v>1</v>
      </c>
      <c r="AP259">
        <v>47</v>
      </c>
      <c r="AQ259">
        <v>35</v>
      </c>
      <c r="AR259">
        <v>8</v>
      </c>
      <c r="AS259">
        <v>21</v>
      </c>
      <c r="AT259">
        <v>8</v>
      </c>
      <c r="AU259">
        <v>11</v>
      </c>
      <c r="AV259">
        <v>29</v>
      </c>
      <c r="AW259">
        <v>43</v>
      </c>
      <c r="AX259">
        <v>9</v>
      </c>
      <c r="AY259">
        <v>31</v>
      </c>
      <c r="AZ259">
        <v>2</v>
      </c>
      <c r="BA259">
        <v>12</v>
      </c>
      <c r="BB259">
        <v>7</v>
      </c>
      <c r="BC259">
        <v>33</v>
      </c>
      <c r="BD259">
        <v>8</v>
      </c>
      <c r="BE259">
        <v>47</v>
      </c>
      <c r="BF259">
        <v>170526</v>
      </c>
      <c r="BG259">
        <v>6898</v>
      </c>
    </row>
    <row r="260" spans="1:59" x14ac:dyDescent="0.3">
      <c r="A260" s="3">
        <v>45550</v>
      </c>
      <c r="B260" t="s">
        <v>68</v>
      </c>
      <c r="C260">
        <v>9</v>
      </c>
      <c r="D260">
        <v>974</v>
      </c>
      <c r="E260">
        <v>776</v>
      </c>
      <c r="F260">
        <v>13</v>
      </c>
      <c r="G260">
        <v>13</v>
      </c>
      <c r="H260">
        <v>29</v>
      </c>
      <c r="I260">
        <v>20</v>
      </c>
      <c r="J260">
        <v>31</v>
      </c>
      <c r="K260">
        <v>48</v>
      </c>
      <c r="L260">
        <v>20</v>
      </c>
      <c r="M260">
        <v>6</v>
      </c>
      <c r="N260">
        <v>37</v>
      </c>
      <c r="O260">
        <v>3</v>
      </c>
      <c r="P260">
        <v>0</v>
      </c>
      <c r="Q260">
        <v>5</v>
      </c>
      <c r="R260">
        <v>45</v>
      </c>
      <c r="S260">
        <v>24</v>
      </c>
      <c r="T260">
        <v>2</v>
      </c>
      <c r="U260">
        <v>48</v>
      </c>
      <c r="V260">
        <v>1</v>
      </c>
      <c r="W260">
        <v>6</v>
      </c>
      <c r="X260">
        <v>8</v>
      </c>
      <c r="Y260">
        <v>29</v>
      </c>
      <c r="Z260">
        <v>43</v>
      </c>
      <c r="AA260">
        <v>38</v>
      </c>
      <c r="AB260">
        <v>44</v>
      </c>
      <c r="AC260">
        <v>0</v>
      </c>
      <c r="AD260">
        <v>22</v>
      </c>
      <c r="AE260">
        <v>19</v>
      </c>
      <c r="AF260">
        <v>6</v>
      </c>
      <c r="AG260">
        <v>40</v>
      </c>
      <c r="AH260">
        <v>37</v>
      </c>
      <c r="AI260">
        <v>5</v>
      </c>
      <c r="AJ260">
        <v>24</v>
      </c>
      <c r="AK260">
        <v>38</v>
      </c>
      <c r="AL260">
        <v>41</v>
      </c>
      <c r="AM260">
        <v>41</v>
      </c>
      <c r="AN260">
        <v>33</v>
      </c>
      <c r="AO260">
        <v>9</v>
      </c>
      <c r="AP260">
        <v>27</v>
      </c>
      <c r="AQ260">
        <v>35</v>
      </c>
      <c r="AR260">
        <v>32</v>
      </c>
      <c r="AS260">
        <v>28</v>
      </c>
      <c r="AT260">
        <v>4</v>
      </c>
      <c r="AU260">
        <v>22</v>
      </c>
      <c r="AV260">
        <v>11</v>
      </c>
      <c r="AW260">
        <v>33</v>
      </c>
      <c r="AX260">
        <v>43</v>
      </c>
      <c r="AY260">
        <v>37</v>
      </c>
      <c r="AZ260">
        <v>34</v>
      </c>
      <c r="BA260">
        <v>6</v>
      </c>
      <c r="BB260">
        <v>46</v>
      </c>
      <c r="BC260">
        <v>15</v>
      </c>
      <c r="BD260">
        <v>32</v>
      </c>
      <c r="BE260">
        <v>39</v>
      </c>
      <c r="BF260">
        <v>171076</v>
      </c>
      <c r="BG260">
        <v>6910</v>
      </c>
    </row>
    <row r="261" spans="1:59" x14ac:dyDescent="0.3">
      <c r="A261" s="3">
        <v>45551</v>
      </c>
      <c r="B261" t="s">
        <v>68</v>
      </c>
      <c r="C261">
        <v>9</v>
      </c>
      <c r="D261">
        <v>975</v>
      </c>
      <c r="E261">
        <v>777</v>
      </c>
      <c r="F261">
        <v>27</v>
      </c>
      <c r="G261">
        <v>32</v>
      </c>
      <c r="H261">
        <v>45</v>
      </c>
      <c r="I261">
        <v>8</v>
      </c>
      <c r="J261">
        <v>21</v>
      </c>
      <c r="K261">
        <v>2</v>
      </c>
      <c r="L261">
        <v>7</v>
      </c>
      <c r="M261">
        <v>1</v>
      </c>
      <c r="N261">
        <v>3</v>
      </c>
      <c r="O261">
        <v>21</v>
      </c>
      <c r="P261">
        <v>39</v>
      </c>
      <c r="Q261">
        <v>0</v>
      </c>
      <c r="R261">
        <v>23</v>
      </c>
      <c r="S261">
        <v>28</v>
      </c>
      <c r="T261">
        <v>3</v>
      </c>
      <c r="U261">
        <v>16</v>
      </c>
      <c r="V261">
        <v>28</v>
      </c>
      <c r="W261">
        <v>3</v>
      </c>
      <c r="X261">
        <v>33</v>
      </c>
      <c r="Y261">
        <v>30</v>
      </c>
      <c r="Z261">
        <v>46</v>
      </c>
      <c r="AA261">
        <v>28</v>
      </c>
      <c r="AB261">
        <v>15</v>
      </c>
      <c r="AC261">
        <v>16</v>
      </c>
      <c r="AD261">
        <v>45</v>
      </c>
      <c r="AE261">
        <v>1</v>
      </c>
      <c r="AF261">
        <v>41</v>
      </c>
      <c r="AG261">
        <v>22</v>
      </c>
      <c r="AH261">
        <v>11</v>
      </c>
      <c r="AI261">
        <v>29</v>
      </c>
      <c r="AJ261">
        <v>28</v>
      </c>
      <c r="AK261">
        <v>43</v>
      </c>
      <c r="AL261">
        <v>14</v>
      </c>
      <c r="AM261">
        <v>6</v>
      </c>
      <c r="AN261">
        <v>6</v>
      </c>
      <c r="AO261">
        <v>28</v>
      </c>
      <c r="AP261">
        <v>49</v>
      </c>
      <c r="AQ261">
        <v>31</v>
      </c>
      <c r="AR261">
        <v>13</v>
      </c>
      <c r="AS261">
        <v>37</v>
      </c>
      <c r="AT261">
        <v>26</v>
      </c>
      <c r="AU261">
        <v>7</v>
      </c>
      <c r="AV261">
        <v>39</v>
      </c>
      <c r="AW261">
        <v>48</v>
      </c>
      <c r="AX261">
        <v>39</v>
      </c>
      <c r="AY261">
        <v>9</v>
      </c>
      <c r="AZ261">
        <v>33</v>
      </c>
      <c r="BA261">
        <v>28</v>
      </c>
      <c r="BB261">
        <v>10</v>
      </c>
      <c r="BC261">
        <v>5</v>
      </c>
      <c r="BD261">
        <v>24</v>
      </c>
      <c r="BE261">
        <v>22</v>
      </c>
      <c r="BF261">
        <v>171627</v>
      </c>
      <c r="BG261">
        <v>6922</v>
      </c>
    </row>
    <row r="262" spans="1:59" x14ac:dyDescent="0.3">
      <c r="A262" s="3">
        <v>45552</v>
      </c>
      <c r="B262" t="s">
        <v>68</v>
      </c>
      <c r="C262">
        <v>9</v>
      </c>
      <c r="D262">
        <v>977</v>
      </c>
      <c r="E262">
        <v>778</v>
      </c>
      <c r="F262">
        <v>1</v>
      </c>
      <c r="G262">
        <v>15</v>
      </c>
      <c r="H262">
        <v>34</v>
      </c>
      <c r="I262">
        <v>44</v>
      </c>
      <c r="J262">
        <v>24</v>
      </c>
      <c r="K262">
        <v>31</v>
      </c>
      <c r="L262">
        <v>23</v>
      </c>
      <c r="M262">
        <v>37</v>
      </c>
      <c r="N262">
        <v>34</v>
      </c>
      <c r="O262">
        <v>44</v>
      </c>
      <c r="P262">
        <v>31</v>
      </c>
      <c r="Q262">
        <v>2</v>
      </c>
      <c r="R262">
        <v>41</v>
      </c>
      <c r="S262">
        <v>29</v>
      </c>
      <c r="T262">
        <v>28</v>
      </c>
      <c r="U262">
        <v>4</v>
      </c>
      <c r="V262">
        <v>4</v>
      </c>
      <c r="W262">
        <v>33</v>
      </c>
      <c r="X262">
        <v>2</v>
      </c>
      <c r="Y262">
        <v>22</v>
      </c>
      <c r="Z262">
        <v>43</v>
      </c>
      <c r="AA262">
        <v>9</v>
      </c>
      <c r="AB262">
        <v>39</v>
      </c>
      <c r="AC262">
        <v>13</v>
      </c>
      <c r="AD262">
        <v>12</v>
      </c>
      <c r="AE262">
        <v>19</v>
      </c>
      <c r="AF262">
        <v>21</v>
      </c>
      <c r="AG262">
        <v>23</v>
      </c>
      <c r="AH262">
        <v>27</v>
      </c>
      <c r="AI262">
        <v>10</v>
      </c>
      <c r="AJ262">
        <v>34</v>
      </c>
      <c r="AK262">
        <v>29</v>
      </c>
      <c r="AL262">
        <v>7</v>
      </c>
      <c r="AM262">
        <v>48</v>
      </c>
      <c r="AN262">
        <v>9</v>
      </c>
      <c r="AO262">
        <v>27</v>
      </c>
      <c r="AP262">
        <v>48</v>
      </c>
      <c r="AQ262">
        <v>18</v>
      </c>
      <c r="AR262">
        <v>17</v>
      </c>
      <c r="AS262">
        <v>8</v>
      </c>
      <c r="AT262">
        <v>43</v>
      </c>
      <c r="AU262">
        <v>26</v>
      </c>
      <c r="AV262">
        <v>29</v>
      </c>
      <c r="AW262">
        <v>35</v>
      </c>
      <c r="AX262">
        <v>2</v>
      </c>
      <c r="AY262">
        <v>5</v>
      </c>
      <c r="AZ262">
        <v>18</v>
      </c>
      <c r="BA262">
        <v>0</v>
      </c>
      <c r="BB262">
        <v>46</v>
      </c>
      <c r="BC262">
        <v>45</v>
      </c>
      <c r="BD262">
        <v>41</v>
      </c>
      <c r="BE262">
        <v>14</v>
      </c>
      <c r="BF262">
        <v>172178</v>
      </c>
      <c r="BG262">
        <v>6934</v>
      </c>
    </row>
    <row r="263" spans="1:59" x14ac:dyDescent="0.3">
      <c r="A263" s="3">
        <v>45553</v>
      </c>
      <c r="B263" t="s">
        <v>68</v>
      </c>
      <c r="C263">
        <v>9</v>
      </c>
      <c r="D263">
        <v>979</v>
      </c>
      <c r="E263">
        <v>778</v>
      </c>
      <c r="F263">
        <v>25</v>
      </c>
      <c r="G263">
        <v>41</v>
      </c>
      <c r="H263">
        <v>42</v>
      </c>
      <c r="I263">
        <v>27</v>
      </c>
      <c r="J263">
        <v>45</v>
      </c>
      <c r="K263">
        <v>48</v>
      </c>
      <c r="L263">
        <v>0</v>
      </c>
      <c r="M263">
        <v>3</v>
      </c>
      <c r="N263">
        <v>37</v>
      </c>
      <c r="O263">
        <v>1</v>
      </c>
      <c r="P263">
        <v>6</v>
      </c>
      <c r="Q263">
        <v>12</v>
      </c>
      <c r="R263">
        <v>3</v>
      </c>
      <c r="S263">
        <v>18</v>
      </c>
      <c r="T263">
        <v>23</v>
      </c>
      <c r="U263">
        <v>44</v>
      </c>
      <c r="V263">
        <v>41</v>
      </c>
      <c r="W263">
        <v>46</v>
      </c>
      <c r="X263">
        <v>19</v>
      </c>
      <c r="Y263">
        <v>41</v>
      </c>
      <c r="Z263">
        <v>15</v>
      </c>
      <c r="AA263">
        <v>22</v>
      </c>
      <c r="AB263">
        <v>3</v>
      </c>
      <c r="AC263">
        <v>3</v>
      </c>
      <c r="AD263">
        <v>9</v>
      </c>
      <c r="AE263">
        <v>27</v>
      </c>
      <c r="AF263">
        <v>31</v>
      </c>
      <c r="AG263">
        <v>30</v>
      </c>
      <c r="AH263">
        <v>10</v>
      </c>
      <c r="AI263">
        <v>10</v>
      </c>
      <c r="AJ263">
        <v>44</v>
      </c>
      <c r="AK263">
        <v>13</v>
      </c>
      <c r="AL263">
        <v>42</v>
      </c>
      <c r="AM263">
        <v>6</v>
      </c>
      <c r="AN263">
        <v>3</v>
      </c>
      <c r="AO263">
        <v>12</v>
      </c>
      <c r="AP263">
        <v>21</v>
      </c>
      <c r="AQ263">
        <v>49</v>
      </c>
      <c r="AR263">
        <v>19</v>
      </c>
      <c r="AS263">
        <v>41</v>
      </c>
      <c r="AT263">
        <v>5</v>
      </c>
      <c r="AU263">
        <v>40</v>
      </c>
      <c r="AV263">
        <v>3</v>
      </c>
      <c r="AW263">
        <v>6</v>
      </c>
      <c r="AX263">
        <v>13</v>
      </c>
      <c r="AY263">
        <v>4</v>
      </c>
      <c r="AZ263">
        <v>40</v>
      </c>
      <c r="BA263">
        <v>14</v>
      </c>
      <c r="BB263">
        <v>7</v>
      </c>
      <c r="BC263">
        <v>21</v>
      </c>
      <c r="BD263">
        <v>22</v>
      </c>
      <c r="BE263">
        <v>27</v>
      </c>
      <c r="BF263">
        <v>172728</v>
      </c>
      <c r="BG263">
        <v>6946</v>
      </c>
    </row>
    <row r="264" spans="1:59" x14ac:dyDescent="0.3">
      <c r="A264" s="3">
        <v>45554</v>
      </c>
      <c r="B264" t="s">
        <v>68</v>
      </c>
      <c r="C264">
        <v>9</v>
      </c>
      <c r="D264">
        <v>980</v>
      </c>
      <c r="E264">
        <v>779</v>
      </c>
      <c r="F264">
        <v>44</v>
      </c>
      <c r="G264">
        <v>14</v>
      </c>
      <c r="H264">
        <v>13</v>
      </c>
      <c r="I264">
        <v>35</v>
      </c>
      <c r="J264">
        <v>28</v>
      </c>
      <c r="K264">
        <v>29</v>
      </c>
      <c r="L264">
        <v>13</v>
      </c>
      <c r="M264">
        <v>26</v>
      </c>
      <c r="N264">
        <v>42</v>
      </c>
      <c r="O264">
        <v>26</v>
      </c>
      <c r="P264">
        <v>24</v>
      </c>
      <c r="Q264">
        <v>2</v>
      </c>
      <c r="R264">
        <v>7</v>
      </c>
      <c r="S264">
        <v>19</v>
      </c>
      <c r="T264">
        <v>32</v>
      </c>
      <c r="U264">
        <v>15</v>
      </c>
      <c r="V264">
        <v>11</v>
      </c>
      <c r="W264">
        <v>5</v>
      </c>
      <c r="X264">
        <v>0</v>
      </c>
      <c r="Y264">
        <v>24</v>
      </c>
      <c r="Z264">
        <v>11</v>
      </c>
      <c r="AA264">
        <v>33</v>
      </c>
      <c r="AB264">
        <v>24</v>
      </c>
      <c r="AC264">
        <v>4</v>
      </c>
      <c r="AD264">
        <v>23</v>
      </c>
      <c r="AE264">
        <v>12</v>
      </c>
      <c r="AF264">
        <v>34</v>
      </c>
      <c r="AG264">
        <v>27</v>
      </c>
      <c r="AH264">
        <v>38</v>
      </c>
      <c r="AI264">
        <v>29</v>
      </c>
      <c r="AJ264">
        <v>0</v>
      </c>
      <c r="AK264">
        <v>46</v>
      </c>
      <c r="AL264">
        <v>32</v>
      </c>
      <c r="AM264">
        <v>5</v>
      </c>
      <c r="AN264">
        <v>0</v>
      </c>
      <c r="AO264">
        <v>39</v>
      </c>
      <c r="AP264">
        <v>41</v>
      </c>
      <c r="AQ264">
        <v>7</v>
      </c>
      <c r="AR264">
        <v>22</v>
      </c>
      <c r="AS264">
        <v>45</v>
      </c>
      <c r="AT264">
        <v>1</v>
      </c>
      <c r="AU264">
        <v>9</v>
      </c>
      <c r="AV264">
        <v>3</v>
      </c>
      <c r="AW264">
        <v>6</v>
      </c>
      <c r="AX264">
        <v>47</v>
      </c>
      <c r="AY264">
        <v>42</v>
      </c>
      <c r="AZ264">
        <v>17</v>
      </c>
      <c r="BA264">
        <v>44</v>
      </c>
      <c r="BB264">
        <v>33</v>
      </c>
      <c r="BC264">
        <v>27</v>
      </c>
      <c r="BD264">
        <v>9</v>
      </c>
      <c r="BE264">
        <v>24</v>
      </c>
      <c r="BF264">
        <v>173279</v>
      </c>
      <c r="BG264">
        <v>6958</v>
      </c>
    </row>
    <row r="265" spans="1:59" x14ac:dyDescent="0.3">
      <c r="A265" s="3">
        <v>45555</v>
      </c>
      <c r="B265" t="s">
        <v>68</v>
      </c>
      <c r="C265">
        <v>9</v>
      </c>
      <c r="D265">
        <v>982</v>
      </c>
      <c r="E265">
        <v>780</v>
      </c>
      <c r="F265">
        <v>35</v>
      </c>
      <c r="G265">
        <v>10</v>
      </c>
      <c r="H265">
        <v>1</v>
      </c>
      <c r="I265">
        <v>49</v>
      </c>
      <c r="J265">
        <v>10</v>
      </c>
      <c r="K265">
        <v>28</v>
      </c>
      <c r="L265">
        <v>7</v>
      </c>
      <c r="M265">
        <v>42</v>
      </c>
      <c r="N265">
        <v>20</v>
      </c>
      <c r="O265">
        <v>28</v>
      </c>
      <c r="P265">
        <v>33</v>
      </c>
      <c r="Q265">
        <v>22</v>
      </c>
      <c r="R265">
        <v>45</v>
      </c>
      <c r="S265">
        <v>19</v>
      </c>
      <c r="T265">
        <v>26</v>
      </c>
      <c r="U265">
        <v>16</v>
      </c>
      <c r="V265">
        <v>16</v>
      </c>
      <c r="W265">
        <v>20</v>
      </c>
      <c r="X265">
        <v>20</v>
      </c>
      <c r="Y265">
        <v>32</v>
      </c>
      <c r="Z265">
        <v>14</v>
      </c>
      <c r="AA265">
        <v>26</v>
      </c>
      <c r="AB265">
        <v>26</v>
      </c>
      <c r="AC265">
        <v>2</v>
      </c>
      <c r="AD265">
        <v>33</v>
      </c>
      <c r="AE265">
        <v>16</v>
      </c>
      <c r="AF265">
        <v>20</v>
      </c>
      <c r="AG265">
        <v>14</v>
      </c>
      <c r="AH265">
        <v>28</v>
      </c>
      <c r="AI265">
        <v>28</v>
      </c>
      <c r="AJ265">
        <v>37</v>
      </c>
      <c r="AK265">
        <v>12</v>
      </c>
      <c r="AL265">
        <v>22</v>
      </c>
      <c r="AM265">
        <v>24</v>
      </c>
      <c r="AN265">
        <v>13</v>
      </c>
      <c r="AO265">
        <v>12</v>
      </c>
      <c r="AP265">
        <v>26</v>
      </c>
      <c r="AQ265">
        <v>26</v>
      </c>
      <c r="AR265">
        <v>0</v>
      </c>
      <c r="AS265">
        <v>8</v>
      </c>
      <c r="AT265">
        <v>33</v>
      </c>
      <c r="AU265">
        <v>39</v>
      </c>
      <c r="AV265">
        <v>10</v>
      </c>
      <c r="AW265">
        <v>47</v>
      </c>
      <c r="AX265">
        <v>37</v>
      </c>
      <c r="AY265">
        <v>15</v>
      </c>
      <c r="AZ265">
        <v>26</v>
      </c>
      <c r="BA265">
        <v>33</v>
      </c>
      <c r="BB265">
        <v>38</v>
      </c>
      <c r="BC265">
        <v>20</v>
      </c>
      <c r="BD265">
        <v>27</v>
      </c>
      <c r="BE265">
        <v>45</v>
      </c>
      <c r="BF265">
        <v>173830</v>
      </c>
      <c r="BG265">
        <v>6970</v>
      </c>
    </row>
    <row r="266" spans="1:59" x14ac:dyDescent="0.3">
      <c r="A266" s="3">
        <v>45556</v>
      </c>
      <c r="B266" t="s">
        <v>68</v>
      </c>
      <c r="C266">
        <v>9</v>
      </c>
      <c r="D266">
        <v>983</v>
      </c>
      <c r="E266">
        <v>780</v>
      </c>
      <c r="F266">
        <v>9</v>
      </c>
      <c r="G266">
        <v>11</v>
      </c>
      <c r="H266">
        <v>30</v>
      </c>
      <c r="I266">
        <v>8</v>
      </c>
      <c r="J266">
        <v>31</v>
      </c>
      <c r="K266">
        <v>40</v>
      </c>
      <c r="L266">
        <v>10</v>
      </c>
      <c r="M266">
        <v>45</v>
      </c>
      <c r="N266">
        <v>47</v>
      </c>
      <c r="O266">
        <v>22</v>
      </c>
      <c r="P266">
        <v>2</v>
      </c>
      <c r="Q266">
        <v>10</v>
      </c>
      <c r="R266">
        <v>21</v>
      </c>
      <c r="S266">
        <v>17</v>
      </c>
      <c r="T266">
        <v>25</v>
      </c>
      <c r="U266">
        <v>44</v>
      </c>
      <c r="V266">
        <v>43</v>
      </c>
      <c r="W266">
        <v>40</v>
      </c>
      <c r="X266">
        <v>30</v>
      </c>
      <c r="Y266">
        <v>46</v>
      </c>
      <c r="Z266">
        <v>46</v>
      </c>
      <c r="AA266">
        <v>49</v>
      </c>
      <c r="AB266">
        <v>9</v>
      </c>
      <c r="AC266">
        <v>23</v>
      </c>
      <c r="AD266">
        <v>31</v>
      </c>
      <c r="AE266">
        <v>39</v>
      </c>
      <c r="AF266">
        <v>6</v>
      </c>
      <c r="AG266">
        <v>1</v>
      </c>
      <c r="AH266">
        <v>27</v>
      </c>
      <c r="AI266">
        <v>31</v>
      </c>
      <c r="AJ266">
        <v>49</v>
      </c>
      <c r="AK266">
        <v>22</v>
      </c>
      <c r="AL266">
        <v>31</v>
      </c>
      <c r="AM266">
        <v>29</v>
      </c>
      <c r="AN266">
        <v>8</v>
      </c>
      <c r="AO266">
        <v>31</v>
      </c>
      <c r="AP266">
        <v>39</v>
      </c>
      <c r="AQ266">
        <v>36</v>
      </c>
      <c r="AR266">
        <v>2</v>
      </c>
      <c r="AS266">
        <v>23</v>
      </c>
      <c r="AT266">
        <v>1</v>
      </c>
      <c r="AU266">
        <v>8</v>
      </c>
      <c r="AV266">
        <v>7</v>
      </c>
      <c r="AW266">
        <v>29</v>
      </c>
      <c r="AX266">
        <v>35</v>
      </c>
      <c r="AY266">
        <v>33</v>
      </c>
      <c r="AZ266">
        <v>6</v>
      </c>
      <c r="BA266">
        <v>34</v>
      </c>
      <c r="BB266">
        <v>5</v>
      </c>
      <c r="BC266">
        <v>31</v>
      </c>
      <c r="BD266">
        <v>1</v>
      </c>
      <c r="BE266">
        <v>44</v>
      </c>
      <c r="BF266">
        <v>174380</v>
      </c>
      <c r="BG266">
        <v>6982</v>
      </c>
    </row>
    <row r="267" spans="1:59" x14ac:dyDescent="0.3">
      <c r="A267" s="3">
        <v>45557</v>
      </c>
      <c r="B267" t="s">
        <v>68</v>
      </c>
      <c r="C267">
        <v>9</v>
      </c>
      <c r="D267">
        <v>985</v>
      </c>
      <c r="E267">
        <v>781</v>
      </c>
      <c r="F267">
        <v>42</v>
      </c>
      <c r="G267">
        <v>47</v>
      </c>
      <c r="H267">
        <v>25</v>
      </c>
      <c r="I267">
        <v>31</v>
      </c>
      <c r="J267">
        <v>8</v>
      </c>
      <c r="K267">
        <v>38</v>
      </c>
      <c r="L267">
        <v>33</v>
      </c>
      <c r="M267">
        <v>49</v>
      </c>
      <c r="N267">
        <v>1</v>
      </c>
      <c r="O267">
        <v>17</v>
      </c>
      <c r="P267">
        <v>46</v>
      </c>
      <c r="Q267">
        <v>40</v>
      </c>
      <c r="R267">
        <v>12</v>
      </c>
      <c r="S267">
        <v>29</v>
      </c>
      <c r="T267">
        <v>9</v>
      </c>
      <c r="U267">
        <v>45</v>
      </c>
      <c r="V267">
        <v>12</v>
      </c>
      <c r="W267">
        <v>1</v>
      </c>
      <c r="X267">
        <v>31</v>
      </c>
      <c r="Y267">
        <v>4</v>
      </c>
      <c r="Z267">
        <v>48</v>
      </c>
      <c r="AA267">
        <v>35</v>
      </c>
      <c r="AB267">
        <v>26</v>
      </c>
      <c r="AC267">
        <v>45</v>
      </c>
      <c r="AD267">
        <v>20</v>
      </c>
      <c r="AE267">
        <v>28</v>
      </c>
      <c r="AF267">
        <v>0</v>
      </c>
      <c r="AG267">
        <v>21</v>
      </c>
      <c r="AH267">
        <v>9</v>
      </c>
      <c r="AI267">
        <v>37</v>
      </c>
      <c r="AJ267">
        <v>12</v>
      </c>
      <c r="AK267">
        <v>40</v>
      </c>
      <c r="AL267">
        <v>44</v>
      </c>
      <c r="AM267">
        <v>24</v>
      </c>
      <c r="AN267">
        <v>33</v>
      </c>
      <c r="AO267">
        <v>25</v>
      </c>
      <c r="AP267">
        <v>26</v>
      </c>
      <c r="AQ267">
        <v>46</v>
      </c>
      <c r="AR267">
        <v>26</v>
      </c>
      <c r="AS267">
        <v>22</v>
      </c>
      <c r="AT267">
        <v>26</v>
      </c>
      <c r="AU267">
        <v>21</v>
      </c>
      <c r="AV267">
        <v>18</v>
      </c>
      <c r="AW267">
        <v>30</v>
      </c>
      <c r="AX267">
        <v>0</v>
      </c>
      <c r="AY267">
        <v>37</v>
      </c>
      <c r="AZ267">
        <v>44</v>
      </c>
      <c r="BA267">
        <v>8</v>
      </c>
      <c r="BB267">
        <v>8</v>
      </c>
      <c r="BC267">
        <v>40</v>
      </c>
      <c r="BD267">
        <v>32</v>
      </c>
      <c r="BE267">
        <v>27</v>
      </c>
      <c r="BF267">
        <v>174931</v>
      </c>
      <c r="BG267">
        <v>6994</v>
      </c>
    </row>
    <row r="268" spans="1:59" x14ac:dyDescent="0.3">
      <c r="A268" s="3">
        <v>45558</v>
      </c>
      <c r="B268" t="s">
        <v>68</v>
      </c>
      <c r="C268">
        <v>9</v>
      </c>
      <c r="D268">
        <v>987</v>
      </c>
      <c r="E268">
        <v>782</v>
      </c>
      <c r="F268">
        <v>3</v>
      </c>
      <c r="G268">
        <v>33</v>
      </c>
      <c r="H268">
        <v>49</v>
      </c>
      <c r="I268">
        <v>37</v>
      </c>
      <c r="J268">
        <v>34</v>
      </c>
      <c r="K268">
        <v>48</v>
      </c>
      <c r="L268">
        <v>32</v>
      </c>
      <c r="M268">
        <v>44</v>
      </c>
      <c r="N268">
        <v>26</v>
      </c>
      <c r="O268">
        <v>40</v>
      </c>
      <c r="P268">
        <v>17</v>
      </c>
      <c r="Q268">
        <v>16</v>
      </c>
      <c r="R268">
        <v>41</v>
      </c>
      <c r="S268">
        <v>46</v>
      </c>
      <c r="T268">
        <v>4</v>
      </c>
      <c r="U268">
        <v>43</v>
      </c>
      <c r="V268">
        <v>5</v>
      </c>
      <c r="W268">
        <v>0</v>
      </c>
      <c r="X268">
        <v>35</v>
      </c>
      <c r="Y268">
        <v>4</v>
      </c>
      <c r="Z268">
        <v>12</v>
      </c>
      <c r="AA268">
        <v>43</v>
      </c>
      <c r="AB268">
        <v>38</v>
      </c>
      <c r="AC268">
        <v>24</v>
      </c>
      <c r="AD268">
        <v>25</v>
      </c>
      <c r="AE268">
        <v>27</v>
      </c>
      <c r="AF268">
        <v>16</v>
      </c>
      <c r="AG268">
        <v>16</v>
      </c>
      <c r="AH268">
        <v>20</v>
      </c>
      <c r="AI268">
        <v>11</v>
      </c>
      <c r="AJ268">
        <v>43</v>
      </c>
      <c r="AK268">
        <v>33</v>
      </c>
      <c r="AL268">
        <v>37</v>
      </c>
      <c r="AM268">
        <v>20</v>
      </c>
      <c r="AN268">
        <v>27</v>
      </c>
      <c r="AO268">
        <v>1</v>
      </c>
      <c r="AP268">
        <v>25</v>
      </c>
      <c r="AQ268">
        <v>36</v>
      </c>
      <c r="AR268">
        <v>36</v>
      </c>
      <c r="AS268">
        <v>29</v>
      </c>
      <c r="AT268">
        <v>4</v>
      </c>
      <c r="AU268">
        <v>14</v>
      </c>
      <c r="AV268">
        <v>41</v>
      </c>
      <c r="AW268">
        <v>20</v>
      </c>
      <c r="AX268">
        <v>15</v>
      </c>
      <c r="AY268">
        <v>6</v>
      </c>
      <c r="AZ268">
        <v>34</v>
      </c>
      <c r="BA268">
        <v>14</v>
      </c>
      <c r="BB268">
        <v>17</v>
      </c>
      <c r="BC268">
        <v>29</v>
      </c>
      <c r="BD268">
        <v>30</v>
      </c>
      <c r="BE268">
        <v>14</v>
      </c>
      <c r="BF268">
        <v>175482</v>
      </c>
      <c r="BG268">
        <v>7006</v>
      </c>
    </row>
    <row r="269" spans="1:59" x14ac:dyDescent="0.3">
      <c r="A269" s="3">
        <v>45559</v>
      </c>
      <c r="B269" t="s">
        <v>68</v>
      </c>
      <c r="C269">
        <v>9</v>
      </c>
      <c r="D269">
        <v>988</v>
      </c>
      <c r="E269">
        <v>782</v>
      </c>
      <c r="F269">
        <v>8</v>
      </c>
      <c r="G269">
        <v>36</v>
      </c>
      <c r="H269">
        <v>39</v>
      </c>
      <c r="I269">
        <v>10</v>
      </c>
      <c r="J269">
        <v>22</v>
      </c>
      <c r="K269">
        <v>12</v>
      </c>
      <c r="L269">
        <v>3</v>
      </c>
      <c r="M269">
        <v>27</v>
      </c>
      <c r="N269">
        <v>46</v>
      </c>
      <c r="O269">
        <v>31</v>
      </c>
      <c r="P269">
        <v>43</v>
      </c>
      <c r="Q269">
        <v>49</v>
      </c>
      <c r="R269">
        <v>36</v>
      </c>
      <c r="S269">
        <v>28</v>
      </c>
      <c r="T269">
        <v>18</v>
      </c>
      <c r="U269">
        <v>26</v>
      </c>
      <c r="V269">
        <v>30</v>
      </c>
      <c r="W269">
        <v>31</v>
      </c>
      <c r="X269">
        <v>29</v>
      </c>
      <c r="Y269">
        <v>35</v>
      </c>
      <c r="Z269">
        <v>44</v>
      </c>
      <c r="AA269">
        <v>21</v>
      </c>
      <c r="AB269">
        <v>9</v>
      </c>
      <c r="AC269">
        <v>30</v>
      </c>
      <c r="AD269">
        <v>29</v>
      </c>
      <c r="AE269">
        <v>39</v>
      </c>
      <c r="AF269">
        <v>32</v>
      </c>
      <c r="AG269">
        <v>49</v>
      </c>
      <c r="AH269">
        <v>33</v>
      </c>
      <c r="AI269">
        <v>12</v>
      </c>
      <c r="AJ269">
        <v>29</v>
      </c>
      <c r="AK269">
        <v>46</v>
      </c>
      <c r="AL269">
        <v>14</v>
      </c>
      <c r="AM269">
        <v>20</v>
      </c>
      <c r="AN269">
        <v>18</v>
      </c>
      <c r="AO269">
        <v>35</v>
      </c>
      <c r="AP269">
        <v>38</v>
      </c>
      <c r="AQ269">
        <v>32</v>
      </c>
      <c r="AR269">
        <v>45</v>
      </c>
      <c r="AS269">
        <v>40</v>
      </c>
      <c r="AT269">
        <v>41</v>
      </c>
      <c r="AU269">
        <v>34</v>
      </c>
      <c r="AV269">
        <v>5</v>
      </c>
      <c r="AW269">
        <v>7</v>
      </c>
      <c r="AX269">
        <v>26</v>
      </c>
      <c r="AY269">
        <v>39</v>
      </c>
      <c r="AZ269">
        <v>26</v>
      </c>
      <c r="BA269">
        <v>28</v>
      </c>
      <c r="BB269">
        <v>4</v>
      </c>
      <c r="BC269">
        <v>36</v>
      </c>
      <c r="BD269">
        <v>32</v>
      </c>
      <c r="BE269">
        <v>5</v>
      </c>
      <c r="BF269">
        <v>176032</v>
      </c>
      <c r="BG269">
        <v>7018</v>
      </c>
    </row>
    <row r="270" spans="1:59" x14ac:dyDescent="0.3">
      <c r="A270" s="3">
        <v>45560</v>
      </c>
      <c r="B270" t="s">
        <v>68</v>
      </c>
      <c r="C270">
        <v>9</v>
      </c>
      <c r="D270">
        <v>990</v>
      </c>
      <c r="E270">
        <v>783</v>
      </c>
      <c r="F270">
        <v>39</v>
      </c>
      <c r="G270">
        <v>28</v>
      </c>
      <c r="H270">
        <v>34</v>
      </c>
      <c r="I270">
        <v>35</v>
      </c>
      <c r="J270">
        <v>38</v>
      </c>
      <c r="K270">
        <v>33</v>
      </c>
      <c r="L270">
        <v>37</v>
      </c>
      <c r="M270">
        <v>10</v>
      </c>
      <c r="N270">
        <v>34</v>
      </c>
      <c r="O270">
        <v>30</v>
      </c>
      <c r="P270">
        <v>40</v>
      </c>
      <c r="Q270">
        <v>18</v>
      </c>
      <c r="R270">
        <v>22</v>
      </c>
      <c r="S270">
        <v>19</v>
      </c>
      <c r="T270">
        <v>30</v>
      </c>
      <c r="U270">
        <v>14</v>
      </c>
      <c r="V270">
        <v>23</v>
      </c>
      <c r="W270">
        <v>34</v>
      </c>
      <c r="X270">
        <v>41</v>
      </c>
      <c r="Y270">
        <v>16</v>
      </c>
      <c r="Z270">
        <v>21</v>
      </c>
      <c r="AA270">
        <v>9</v>
      </c>
      <c r="AB270">
        <v>24</v>
      </c>
      <c r="AC270">
        <v>19</v>
      </c>
      <c r="AD270">
        <v>2</v>
      </c>
      <c r="AE270">
        <v>29</v>
      </c>
      <c r="AF270">
        <v>13</v>
      </c>
      <c r="AG270">
        <v>22</v>
      </c>
      <c r="AH270">
        <v>47</v>
      </c>
      <c r="AI270">
        <v>24</v>
      </c>
      <c r="AJ270">
        <v>37</v>
      </c>
      <c r="AK270">
        <v>46</v>
      </c>
      <c r="AL270">
        <v>11</v>
      </c>
      <c r="AM270">
        <v>13</v>
      </c>
      <c r="AN270">
        <v>30</v>
      </c>
      <c r="AO270">
        <v>40</v>
      </c>
      <c r="AP270">
        <v>43</v>
      </c>
      <c r="AQ270">
        <v>3</v>
      </c>
      <c r="AR270">
        <v>16</v>
      </c>
      <c r="AS270">
        <v>33</v>
      </c>
      <c r="AT270">
        <v>31</v>
      </c>
      <c r="AU270">
        <v>38</v>
      </c>
      <c r="AV270">
        <v>33</v>
      </c>
      <c r="AW270">
        <v>46</v>
      </c>
      <c r="AX270">
        <v>10</v>
      </c>
      <c r="AY270">
        <v>26</v>
      </c>
      <c r="AZ270">
        <v>13</v>
      </c>
      <c r="BA270">
        <v>27</v>
      </c>
      <c r="BB270">
        <v>20</v>
      </c>
      <c r="BC270">
        <v>45</v>
      </c>
      <c r="BD270">
        <v>10</v>
      </c>
      <c r="BE270">
        <v>22</v>
      </c>
      <c r="BF270">
        <v>176583</v>
      </c>
      <c r="BG270">
        <v>7030</v>
      </c>
    </row>
    <row r="271" spans="1:59" x14ac:dyDescent="0.3">
      <c r="A271" s="3">
        <v>45561</v>
      </c>
      <c r="B271" t="s">
        <v>68</v>
      </c>
      <c r="C271">
        <v>9</v>
      </c>
      <c r="D271">
        <v>992</v>
      </c>
      <c r="E271">
        <v>784</v>
      </c>
      <c r="F271">
        <v>45</v>
      </c>
      <c r="G271">
        <v>16</v>
      </c>
      <c r="H271">
        <v>5</v>
      </c>
      <c r="I271">
        <v>13</v>
      </c>
      <c r="J271">
        <v>47</v>
      </c>
      <c r="K271">
        <v>47</v>
      </c>
      <c r="L271">
        <v>46</v>
      </c>
      <c r="M271">
        <v>39</v>
      </c>
      <c r="N271">
        <v>26</v>
      </c>
      <c r="O271">
        <v>22</v>
      </c>
      <c r="P271">
        <v>23</v>
      </c>
      <c r="Q271">
        <v>7</v>
      </c>
      <c r="R271">
        <v>44</v>
      </c>
      <c r="S271">
        <v>19</v>
      </c>
      <c r="T271">
        <v>4</v>
      </c>
      <c r="U271">
        <v>35</v>
      </c>
      <c r="V271">
        <v>39</v>
      </c>
      <c r="W271">
        <v>40</v>
      </c>
      <c r="X271">
        <v>28</v>
      </c>
      <c r="Y271">
        <v>40</v>
      </c>
      <c r="Z271">
        <v>33</v>
      </c>
      <c r="AA271">
        <v>14</v>
      </c>
      <c r="AB271">
        <v>34</v>
      </c>
      <c r="AC271">
        <v>28</v>
      </c>
      <c r="AD271">
        <v>7</v>
      </c>
      <c r="AE271">
        <v>46</v>
      </c>
      <c r="AF271">
        <v>22</v>
      </c>
      <c r="AG271">
        <v>19</v>
      </c>
      <c r="AH271">
        <v>49</v>
      </c>
      <c r="AI271">
        <v>21</v>
      </c>
      <c r="AJ271">
        <v>6</v>
      </c>
      <c r="AK271">
        <v>12</v>
      </c>
      <c r="AL271">
        <v>19</v>
      </c>
      <c r="AM271">
        <v>15</v>
      </c>
      <c r="AN271">
        <v>0</v>
      </c>
      <c r="AO271">
        <v>5</v>
      </c>
      <c r="AP271">
        <v>38</v>
      </c>
      <c r="AQ271">
        <v>15</v>
      </c>
      <c r="AR271">
        <v>26</v>
      </c>
      <c r="AS271">
        <v>33</v>
      </c>
      <c r="AT271">
        <v>34</v>
      </c>
      <c r="AU271">
        <v>13</v>
      </c>
      <c r="AV271">
        <v>22</v>
      </c>
      <c r="AW271">
        <v>45</v>
      </c>
      <c r="AX271">
        <v>3</v>
      </c>
      <c r="AY271">
        <v>18</v>
      </c>
      <c r="AZ271">
        <v>8</v>
      </c>
      <c r="BA271">
        <v>40</v>
      </c>
      <c r="BB271">
        <v>1</v>
      </c>
      <c r="BC271">
        <v>25</v>
      </c>
      <c r="BD271">
        <v>28</v>
      </c>
      <c r="BE271">
        <v>4</v>
      </c>
      <c r="BF271">
        <v>177134</v>
      </c>
      <c r="BG271">
        <v>7042</v>
      </c>
    </row>
    <row r="272" spans="1:59" x14ac:dyDescent="0.3">
      <c r="A272" s="3">
        <v>45562</v>
      </c>
      <c r="B272" t="s">
        <v>68</v>
      </c>
      <c r="C272">
        <v>9</v>
      </c>
      <c r="D272">
        <v>993</v>
      </c>
      <c r="E272">
        <v>784</v>
      </c>
      <c r="F272">
        <v>5</v>
      </c>
      <c r="G272">
        <v>22</v>
      </c>
      <c r="H272">
        <v>2</v>
      </c>
      <c r="I272">
        <v>6</v>
      </c>
      <c r="J272">
        <v>11</v>
      </c>
      <c r="K272">
        <v>48</v>
      </c>
      <c r="L272">
        <v>28</v>
      </c>
      <c r="M272">
        <v>49</v>
      </c>
      <c r="N272">
        <v>12</v>
      </c>
      <c r="O272">
        <v>9</v>
      </c>
      <c r="P272">
        <v>42</v>
      </c>
      <c r="Q272">
        <v>8</v>
      </c>
      <c r="R272">
        <v>41</v>
      </c>
      <c r="S272">
        <v>20</v>
      </c>
      <c r="T272">
        <v>21</v>
      </c>
      <c r="U272">
        <v>11</v>
      </c>
      <c r="V272">
        <v>38</v>
      </c>
      <c r="W272">
        <v>21</v>
      </c>
      <c r="X272">
        <v>31</v>
      </c>
      <c r="Y272">
        <v>42</v>
      </c>
      <c r="Z272">
        <v>39</v>
      </c>
      <c r="AA272">
        <v>13</v>
      </c>
      <c r="AB272">
        <v>36</v>
      </c>
      <c r="AC272">
        <v>6</v>
      </c>
      <c r="AD272">
        <v>48</v>
      </c>
      <c r="AE272">
        <v>46</v>
      </c>
      <c r="AF272">
        <v>9</v>
      </c>
      <c r="AG272">
        <v>46</v>
      </c>
      <c r="AH272">
        <v>7</v>
      </c>
      <c r="AI272">
        <v>42</v>
      </c>
      <c r="AJ272">
        <v>46</v>
      </c>
      <c r="AK272">
        <v>33</v>
      </c>
      <c r="AL272">
        <v>13</v>
      </c>
      <c r="AM272">
        <v>44</v>
      </c>
      <c r="AN272">
        <v>15</v>
      </c>
      <c r="AO272">
        <v>0</v>
      </c>
      <c r="AP272">
        <v>16</v>
      </c>
      <c r="AQ272">
        <v>4</v>
      </c>
      <c r="AR272">
        <v>42</v>
      </c>
      <c r="AS272">
        <v>23</v>
      </c>
      <c r="AT272">
        <v>7</v>
      </c>
      <c r="AU272">
        <v>12</v>
      </c>
      <c r="AV272">
        <v>41</v>
      </c>
      <c r="AW272">
        <v>21</v>
      </c>
      <c r="AX272">
        <v>9</v>
      </c>
      <c r="AY272">
        <v>37</v>
      </c>
      <c r="AZ272">
        <v>37</v>
      </c>
      <c r="BA272">
        <v>42</v>
      </c>
      <c r="BB272">
        <v>11</v>
      </c>
      <c r="BC272">
        <v>42</v>
      </c>
      <c r="BD272">
        <v>6</v>
      </c>
      <c r="BE272">
        <v>35</v>
      </c>
      <c r="BF272">
        <v>177684</v>
      </c>
      <c r="BG272">
        <v>7054</v>
      </c>
    </row>
    <row r="273" spans="1:59" x14ac:dyDescent="0.3">
      <c r="A273" s="3">
        <v>45563</v>
      </c>
      <c r="B273" t="s">
        <v>68</v>
      </c>
      <c r="C273">
        <v>9</v>
      </c>
      <c r="D273">
        <v>995</v>
      </c>
      <c r="E273">
        <v>785</v>
      </c>
      <c r="F273">
        <v>30</v>
      </c>
      <c r="G273">
        <v>44</v>
      </c>
      <c r="H273">
        <v>15</v>
      </c>
      <c r="I273">
        <v>37</v>
      </c>
      <c r="J273">
        <v>4</v>
      </c>
      <c r="K273">
        <v>29</v>
      </c>
      <c r="L273">
        <v>0</v>
      </c>
      <c r="M273">
        <v>27</v>
      </c>
      <c r="N273">
        <v>44</v>
      </c>
      <c r="O273">
        <v>45</v>
      </c>
      <c r="P273">
        <v>26</v>
      </c>
      <c r="Q273">
        <v>0</v>
      </c>
      <c r="R273">
        <v>7</v>
      </c>
      <c r="S273">
        <v>39</v>
      </c>
      <c r="T273">
        <v>19</v>
      </c>
      <c r="U273">
        <v>7</v>
      </c>
      <c r="V273">
        <v>27</v>
      </c>
      <c r="W273">
        <v>13</v>
      </c>
      <c r="X273">
        <v>13</v>
      </c>
      <c r="Y273">
        <v>21</v>
      </c>
      <c r="Z273">
        <v>22</v>
      </c>
      <c r="AA273">
        <v>17</v>
      </c>
      <c r="AB273">
        <v>6</v>
      </c>
      <c r="AC273">
        <v>45</v>
      </c>
      <c r="AD273">
        <v>23</v>
      </c>
      <c r="AE273">
        <v>41</v>
      </c>
      <c r="AF273">
        <v>24</v>
      </c>
      <c r="AG273">
        <v>23</v>
      </c>
      <c r="AH273">
        <v>31</v>
      </c>
      <c r="AI273">
        <v>35</v>
      </c>
      <c r="AJ273">
        <v>0</v>
      </c>
      <c r="AK273">
        <v>30</v>
      </c>
      <c r="AL273">
        <v>41</v>
      </c>
      <c r="AM273">
        <v>17</v>
      </c>
      <c r="AN273">
        <v>21</v>
      </c>
      <c r="AO273">
        <v>42</v>
      </c>
      <c r="AP273">
        <v>15</v>
      </c>
      <c r="AQ273">
        <v>11</v>
      </c>
      <c r="AR273">
        <v>13</v>
      </c>
      <c r="AS273">
        <v>36</v>
      </c>
      <c r="AT273">
        <v>2</v>
      </c>
      <c r="AU273">
        <v>28</v>
      </c>
      <c r="AV273">
        <v>19</v>
      </c>
      <c r="AW273">
        <v>35</v>
      </c>
      <c r="AX273">
        <v>19</v>
      </c>
      <c r="AY273">
        <v>17</v>
      </c>
      <c r="AZ273">
        <v>0</v>
      </c>
      <c r="BA273">
        <v>9</v>
      </c>
      <c r="BB273">
        <v>30</v>
      </c>
      <c r="BC273">
        <v>17</v>
      </c>
      <c r="BD273">
        <v>12</v>
      </c>
      <c r="BE273">
        <v>5</v>
      </c>
      <c r="BF273">
        <v>178235</v>
      </c>
      <c r="BG273">
        <v>7066</v>
      </c>
    </row>
    <row r="274" spans="1:59" x14ac:dyDescent="0.3">
      <c r="A274" s="3">
        <v>45564</v>
      </c>
      <c r="B274" t="s">
        <v>68</v>
      </c>
      <c r="C274">
        <v>9</v>
      </c>
      <c r="D274">
        <v>997</v>
      </c>
      <c r="E274">
        <v>786</v>
      </c>
      <c r="F274">
        <v>46</v>
      </c>
      <c r="G274">
        <v>41</v>
      </c>
      <c r="H274">
        <v>40</v>
      </c>
      <c r="I274">
        <v>40</v>
      </c>
      <c r="J274">
        <v>32</v>
      </c>
      <c r="K274">
        <v>35</v>
      </c>
      <c r="L274">
        <v>11</v>
      </c>
      <c r="M274">
        <v>32</v>
      </c>
      <c r="N274">
        <v>12</v>
      </c>
      <c r="O274">
        <v>9</v>
      </c>
      <c r="P274">
        <v>41</v>
      </c>
      <c r="Q274">
        <v>19</v>
      </c>
      <c r="R274">
        <v>2</v>
      </c>
      <c r="S274">
        <v>23</v>
      </c>
      <c r="T274">
        <v>5</v>
      </c>
      <c r="U274">
        <v>0</v>
      </c>
      <c r="V274">
        <v>3</v>
      </c>
      <c r="W274">
        <v>19</v>
      </c>
      <c r="X274">
        <v>21</v>
      </c>
      <c r="Y274">
        <v>41</v>
      </c>
      <c r="Z274">
        <v>37</v>
      </c>
      <c r="AA274">
        <v>4</v>
      </c>
      <c r="AB274">
        <v>0</v>
      </c>
      <c r="AC274">
        <v>27</v>
      </c>
      <c r="AD274">
        <v>32</v>
      </c>
      <c r="AE274">
        <v>20</v>
      </c>
      <c r="AF274">
        <v>3</v>
      </c>
      <c r="AG274">
        <v>19</v>
      </c>
      <c r="AH274">
        <v>8</v>
      </c>
      <c r="AI274">
        <v>26</v>
      </c>
      <c r="AJ274">
        <v>12</v>
      </c>
      <c r="AK274">
        <v>12</v>
      </c>
      <c r="AL274">
        <v>49</v>
      </c>
      <c r="AM274">
        <v>19</v>
      </c>
      <c r="AN274">
        <v>32</v>
      </c>
      <c r="AO274">
        <v>34</v>
      </c>
      <c r="AP274">
        <v>27</v>
      </c>
      <c r="AQ274">
        <v>18</v>
      </c>
      <c r="AR274">
        <v>45</v>
      </c>
      <c r="AS274">
        <v>5</v>
      </c>
      <c r="AT274">
        <v>26</v>
      </c>
      <c r="AU274">
        <v>30</v>
      </c>
      <c r="AV274">
        <v>39</v>
      </c>
      <c r="AW274">
        <v>7</v>
      </c>
      <c r="AX274">
        <v>49</v>
      </c>
      <c r="AY274">
        <v>34</v>
      </c>
      <c r="AZ274">
        <v>37</v>
      </c>
      <c r="BA274">
        <v>39</v>
      </c>
      <c r="BB274">
        <v>43</v>
      </c>
      <c r="BC274">
        <v>15</v>
      </c>
      <c r="BD274">
        <v>15</v>
      </c>
      <c r="BE274">
        <v>41</v>
      </c>
      <c r="BF274">
        <v>178786</v>
      </c>
      <c r="BG274">
        <v>7078</v>
      </c>
    </row>
    <row r="275" spans="1:59" x14ac:dyDescent="0.3">
      <c r="A275" s="3">
        <v>45565</v>
      </c>
      <c r="B275" t="s">
        <v>68</v>
      </c>
      <c r="C275">
        <v>9</v>
      </c>
      <c r="D275">
        <v>998</v>
      </c>
      <c r="E275">
        <v>786</v>
      </c>
      <c r="F275">
        <v>8</v>
      </c>
      <c r="G275">
        <v>38</v>
      </c>
      <c r="H275">
        <v>8</v>
      </c>
      <c r="I275">
        <v>19</v>
      </c>
      <c r="J275">
        <v>39</v>
      </c>
      <c r="K275">
        <v>14</v>
      </c>
      <c r="L275">
        <v>4</v>
      </c>
      <c r="M275">
        <v>47</v>
      </c>
      <c r="N275">
        <v>31</v>
      </c>
      <c r="O275">
        <v>44</v>
      </c>
      <c r="P275">
        <v>3</v>
      </c>
      <c r="Q275">
        <v>45</v>
      </c>
      <c r="R275">
        <v>48</v>
      </c>
      <c r="S275">
        <v>35</v>
      </c>
      <c r="T275">
        <v>14</v>
      </c>
      <c r="U275">
        <v>31</v>
      </c>
      <c r="V275">
        <v>37</v>
      </c>
      <c r="W275">
        <v>28</v>
      </c>
      <c r="X275">
        <v>7</v>
      </c>
      <c r="Y275">
        <v>40</v>
      </c>
      <c r="Z275">
        <v>24</v>
      </c>
      <c r="AA275">
        <v>13</v>
      </c>
      <c r="AB275">
        <v>23</v>
      </c>
      <c r="AC275">
        <v>12</v>
      </c>
      <c r="AD275">
        <v>9</v>
      </c>
      <c r="AE275">
        <v>11</v>
      </c>
      <c r="AF275">
        <v>24</v>
      </c>
      <c r="AG275">
        <v>1</v>
      </c>
      <c r="AH275">
        <v>1</v>
      </c>
      <c r="AI275">
        <v>19</v>
      </c>
      <c r="AJ275">
        <v>45</v>
      </c>
      <c r="AK275">
        <v>35</v>
      </c>
      <c r="AL275">
        <v>43</v>
      </c>
      <c r="AM275">
        <v>23</v>
      </c>
      <c r="AN275">
        <v>36</v>
      </c>
      <c r="AO275">
        <v>38</v>
      </c>
      <c r="AP275">
        <v>7</v>
      </c>
      <c r="AQ275">
        <v>41</v>
      </c>
      <c r="AR275">
        <v>27</v>
      </c>
      <c r="AS275">
        <v>28</v>
      </c>
      <c r="AT275">
        <v>3</v>
      </c>
      <c r="AU275">
        <v>43</v>
      </c>
      <c r="AV275">
        <v>31</v>
      </c>
      <c r="AW275">
        <v>28</v>
      </c>
      <c r="AX275">
        <v>40</v>
      </c>
      <c r="AY275">
        <v>17</v>
      </c>
      <c r="AZ275">
        <v>12</v>
      </c>
      <c r="BA275">
        <v>18</v>
      </c>
      <c r="BB275">
        <v>5</v>
      </c>
      <c r="BC275">
        <v>35</v>
      </c>
      <c r="BD275">
        <v>41</v>
      </c>
      <c r="BE275">
        <v>23</v>
      </c>
      <c r="BF275">
        <v>179336</v>
      </c>
      <c r="BG275">
        <v>7090</v>
      </c>
    </row>
    <row r="276" spans="1:59" x14ac:dyDescent="0.3">
      <c r="A276" s="3">
        <v>45566</v>
      </c>
      <c r="B276" t="s">
        <v>69</v>
      </c>
      <c r="C276">
        <v>10</v>
      </c>
      <c r="D276">
        <v>1000</v>
      </c>
      <c r="E276">
        <v>787</v>
      </c>
      <c r="F276">
        <v>13</v>
      </c>
      <c r="G276">
        <v>6</v>
      </c>
      <c r="H276">
        <v>48</v>
      </c>
      <c r="I276">
        <v>43</v>
      </c>
      <c r="J276">
        <v>29</v>
      </c>
      <c r="K276">
        <v>44</v>
      </c>
      <c r="L276">
        <v>3</v>
      </c>
      <c r="M276">
        <v>44</v>
      </c>
      <c r="N276">
        <v>25</v>
      </c>
      <c r="O276">
        <v>25</v>
      </c>
      <c r="P276">
        <v>14</v>
      </c>
      <c r="Q276">
        <v>45</v>
      </c>
      <c r="R276">
        <v>3</v>
      </c>
      <c r="S276">
        <v>28</v>
      </c>
      <c r="T276">
        <v>21</v>
      </c>
      <c r="U276">
        <v>29</v>
      </c>
      <c r="V276">
        <v>7</v>
      </c>
      <c r="W276">
        <v>6</v>
      </c>
      <c r="X276">
        <v>5</v>
      </c>
      <c r="Y276">
        <v>40</v>
      </c>
      <c r="Z276">
        <v>3</v>
      </c>
      <c r="AA276">
        <v>29</v>
      </c>
      <c r="AB276">
        <v>18</v>
      </c>
      <c r="AC276">
        <v>48</v>
      </c>
      <c r="AD276">
        <v>2</v>
      </c>
      <c r="AE276">
        <v>24</v>
      </c>
      <c r="AF276">
        <v>29</v>
      </c>
      <c r="AG276">
        <v>2</v>
      </c>
      <c r="AH276">
        <v>48</v>
      </c>
      <c r="AI276">
        <v>39</v>
      </c>
      <c r="AJ276">
        <v>22</v>
      </c>
      <c r="AK276">
        <v>31</v>
      </c>
      <c r="AL276">
        <v>32</v>
      </c>
      <c r="AM276">
        <v>37</v>
      </c>
      <c r="AN276">
        <v>5</v>
      </c>
      <c r="AO276">
        <v>8</v>
      </c>
      <c r="AP276">
        <v>16</v>
      </c>
      <c r="AQ276">
        <v>44</v>
      </c>
      <c r="AR276">
        <v>8</v>
      </c>
      <c r="AS276">
        <v>11</v>
      </c>
      <c r="AT276">
        <v>41</v>
      </c>
      <c r="AU276">
        <v>7</v>
      </c>
      <c r="AV276">
        <v>26</v>
      </c>
      <c r="AW276">
        <v>19</v>
      </c>
      <c r="AX276">
        <v>1</v>
      </c>
      <c r="AY276">
        <v>1</v>
      </c>
      <c r="AZ276">
        <v>21</v>
      </c>
      <c r="BA276">
        <v>19</v>
      </c>
      <c r="BB276">
        <v>25</v>
      </c>
      <c r="BC276">
        <v>6</v>
      </c>
      <c r="BD276">
        <v>15</v>
      </c>
      <c r="BE276">
        <v>39</v>
      </c>
      <c r="BF276">
        <v>179887</v>
      </c>
      <c r="BG276">
        <v>7103</v>
      </c>
    </row>
    <row r="277" spans="1:59" x14ac:dyDescent="0.3">
      <c r="A277" s="3">
        <v>45567</v>
      </c>
      <c r="B277" t="s">
        <v>69</v>
      </c>
      <c r="C277">
        <v>10</v>
      </c>
      <c r="D277">
        <v>1002</v>
      </c>
      <c r="E277">
        <v>788</v>
      </c>
      <c r="F277">
        <v>13</v>
      </c>
      <c r="G277">
        <v>2</v>
      </c>
      <c r="H277">
        <v>14</v>
      </c>
      <c r="I277">
        <v>32</v>
      </c>
      <c r="J277">
        <v>44</v>
      </c>
      <c r="K277">
        <v>14</v>
      </c>
      <c r="L277">
        <v>40</v>
      </c>
      <c r="M277">
        <v>9</v>
      </c>
      <c r="N277">
        <v>1</v>
      </c>
      <c r="O277">
        <v>24</v>
      </c>
      <c r="P277">
        <v>27</v>
      </c>
      <c r="Q277">
        <v>30</v>
      </c>
      <c r="R277">
        <v>41</v>
      </c>
      <c r="S277">
        <v>5</v>
      </c>
      <c r="T277">
        <v>34</v>
      </c>
      <c r="U277">
        <v>14</v>
      </c>
      <c r="V277">
        <v>11</v>
      </c>
      <c r="W277">
        <v>37</v>
      </c>
      <c r="X277">
        <v>9</v>
      </c>
      <c r="Y277">
        <v>31</v>
      </c>
      <c r="Z277">
        <v>29</v>
      </c>
      <c r="AA277">
        <v>13</v>
      </c>
      <c r="AB277">
        <v>43</v>
      </c>
      <c r="AC277">
        <v>5</v>
      </c>
      <c r="AD277">
        <v>9</v>
      </c>
      <c r="AE277">
        <v>1</v>
      </c>
      <c r="AF277">
        <v>33</v>
      </c>
      <c r="AG277">
        <v>47</v>
      </c>
      <c r="AH277">
        <v>4</v>
      </c>
      <c r="AI277">
        <v>1</v>
      </c>
      <c r="AJ277">
        <v>28</v>
      </c>
      <c r="AK277">
        <v>22</v>
      </c>
      <c r="AL277">
        <v>34</v>
      </c>
      <c r="AM277">
        <v>47</v>
      </c>
      <c r="AN277">
        <v>18</v>
      </c>
      <c r="AO277">
        <v>45</v>
      </c>
      <c r="AP277">
        <v>26</v>
      </c>
      <c r="AQ277">
        <v>31</v>
      </c>
      <c r="AR277">
        <v>4</v>
      </c>
      <c r="AS277">
        <v>4</v>
      </c>
      <c r="AT277">
        <v>18</v>
      </c>
      <c r="AU277">
        <v>9</v>
      </c>
      <c r="AV277">
        <v>47</v>
      </c>
      <c r="AW277">
        <v>40</v>
      </c>
      <c r="AX277">
        <v>15</v>
      </c>
      <c r="AY277">
        <v>31</v>
      </c>
      <c r="AZ277">
        <v>9</v>
      </c>
      <c r="BA277">
        <v>5</v>
      </c>
      <c r="BB277">
        <v>24</v>
      </c>
      <c r="BC277">
        <v>10</v>
      </c>
      <c r="BD277">
        <v>22</v>
      </c>
      <c r="BE277">
        <v>28</v>
      </c>
      <c r="BF277">
        <v>180438</v>
      </c>
      <c r="BG277">
        <v>7115</v>
      </c>
    </row>
    <row r="278" spans="1:59" x14ac:dyDescent="0.3">
      <c r="A278" s="3">
        <v>45568</v>
      </c>
      <c r="B278" t="s">
        <v>69</v>
      </c>
      <c r="C278">
        <v>10</v>
      </c>
      <c r="D278">
        <v>1003</v>
      </c>
      <c r="E278">
        <v>789</v>
      </c>
      <c r="F278">
        <v>7</v>
      </c>
      <c r="G278">
        <v>29</v>
      </c>
      <c r="H278">
        <v>24</v>
      </c>
      <c r="I278">
        <v>33</v>
      </c>
      <c r="J278">
        <v>45</v>
      </c>
      <c r="K278">
        <v>14</v>
      </c>
      <c r="L278">
        <v>22</v>
      </c>
      <c r="M278">
        <v>24</v>
      </c>
      <c r="N278">
        <v>12</v>
      </c>
      <c r="O278">
        <v>9</v>
      </c>
      <c r="P278">
        <v>37</v>
      </c>
      <c r="Q278">
        <v>47</v>
      </c>
      <c r="R278">
        <v>19</v>
      </c>
      <c r="S278">
        <v>30</v>
      </c>
      <c r="T278">
        <v>11</v>
      </c>
      <c r="U278">
        <v>15</v>
      </c>
      <c r="V278">
        <v>43</v>
      </c>
      <c r="W278">
        <v>37</v>
      </c>
      <c r="X278">
        <v>32</v>
      </c>
      <c r="Y278">
        <v>36</v>
      </c>
      <c r="Z278">
        <v>42</v>
      </c>
      <c r="AA278">
        <v>34</v>
      </c>
      <c r="AB278">
        <v>31</v>
      </c>
      <c r="AC278">
        <v>12</v>
      </c>
      <c r="AD278">
        <v>17</v>
      </c>
      <c r="AE278">
        <v>44</v>
      </c>
      <c r="AF278">
        <v>28</v>
      </c>
      <c r="AG278">
        <v>35</v>
      </c>
      <c r="AH278">
        <v>0</v>
      </c>
      <c r="AI278">
        <v>33</v>
      </c>
      <c r="AJ278">
        <v>10</v>
      </c>
      <c r="AK278">
        <v>2</v>
      </c>
      <c r="AL278">
        <v>18</v>
      </c>
      <c r="AM278">
        <v>23</v>
      </c>
      <c r="AN278">
        <v>4</v>
      </c>
      <c r="AO278">
        <v>19</v>
      </c>
      <c r="AP278">
        <v>24</v>
      </c>
      <c r="AQ278">
        <v>2</v>
      </c>
      <c r="AR278">
        <v>8</v>
      </c>
      <c r="AS278">
        <v>26</v>
      </c>
      <c r="AT278">
        <v>47</v>
      </c>
      <c r="AU278">
        <v>26</v>
      </c>
      <c r="AV278">
        <v>39</v>
      </c>
      <c r="AW278">
        <v>0</v>
      </c>
      <c r="AX278">
        <v>33</v>
      </c>
      <c r="AY278">
        <v>41</v>
      </c>
      <c r="AZ278">
        <v>39</v>
      </c>
      <c r="BA278">
        <v>3</v>
      </c>
      <c r="BB278">
        <v>43</v>
      </c>
      <c r="BC278">
        <v>39</v>
      </c>
      <c r="BD278">
        <v>42</v>
      </c>
      <c r="BE278">
        <v>17</v>
      </c>
      <c r="BF278">
        <v>180989</v>
      </c>
      <c r="BG278">
        <v>7127</v>
      </c>
    </row>
    <row r="279" spans="1:59" x14ac:dyDescent="0.3">
      <c r="A279" s="3">
        <v>45569</v>
      </c>
      <c r="B279" t="s">
        <v>69</v>
      </c>
      <c r="C279">
        <v>10</v>
      </c>
      <c r="D279">
        <v>1005</v>
      </c>
      <c r="E279">
        <v>789</v>
      </c>
      <c r="F279">
        <v>37</v>
      </c>
      <c r="G279">
        <v>35</v>
      </c>
      <c r="H279">
        <v>46</v>
      </c>
      <c r="I279">
        <v>12</v>
      </c>
      <c r="J279">
        <v>34</v>
      </c>
      <c r="K279">
        <v>43</v>
      </c>
      <c r="L279">
        <v>25</v>
      </c>
      <c r="M279">
        <v>9</v>
      </c>
      <c r="N279">
        <v>36</v>
      </c>
      <c r="O279">
        <v>43</v>
      </c>
      <c r="P279">
        <v>31</v>
      </c>
      <c r="Q279">
        <v>49</v>
      </c>
      <c r="R279">
        <v>29</v>
      </c>
      <c r="S279">
        <v>44</v>
      </c>
      <c r="T279">
        <v>31</v>
      </c>
      <c r="U279">
        <v>44</v>
      </c>
      <c r="V279">
        <v>33</v>
      </c>
      <c r="W279">
        <v>11</v>
      </c>
      <c r="X279">
        <v>25</v>
      </c>
      <c r="Y279">
        <v>44</v>
      </c>
      <c r="Z279">
        <v>39</v>
      </c>
      <c r="AA279">
        <v>13</v>
      </c>
      <c r="AB279">
        <v>14</v>
      </c>
      <c r="AC279">
        <v>24</v>
      </c>
      <c r="AD279">
        <v>39</v>
      </c>
      <c r="AE279">
        <v>26</v>
      </c>
      <c r="AF279">
        <v>9</v>
      </c>
      <c r="AG279">
        <v>0</v>
      </c>
      <c r="AH279">
        <v>26</v>
      </c>
      <c r="AI279">
        <v>25</v>
      </c>
      <c r="AJ279">
        <v>33</v>
      </c>
      <c r="AK279">
        <v>5</v>
      </c>
      <c r="AL279">
        <v>30</v>
      </c>
      <c r="AM279">
        <v>21</v>
      </c>
      <c r="AN279">
        <v>9</v>
      </c>
      <c r="AO279">
        <v>44</v>
      </c>
      <c r="AP279">
        <v>39</v>
      </c>
      <c r="AQ279">
        <v>18</v>
      </c>
      <c r="AR279">
        <v>11</v>
      </c>
      <c r="AS279">
        <v>2</v>
      </c>
      <c r="AT279">
        <v>32</v>
      </c>
      <c r="AU279">
        <v>10</v>
      </c>
      <c r="AV279">
        <v>7</v>
      </c>
      <c r="AW279">
        <v>0</v>
      </c>
      <c r="AX279">
        <v>23</v>
      </c>
      <c r="AY279">
        <v>14</v>
      </c>
      <c r="AZ279">
        <v>26</v>
      </c>
      <c r="BA279">
        <v>18</v>
      </c>
      <c r="BB279">
        <v>5</v>
      </c>
      <c r="BC279">
        <v>39</v>
      </c>
      <c r="BD279">
        <v>6</v>
      </c>
      <c r="BE279">
        <v>26</v>
      </c>
      <c r="BF279">
        <v>181539</v>
      </c>
      <c r="BG279">
        <v>7139</v>
      </c>
    </row>
    <row r="280" spans="1:59" x14ac:dyDescent="0.3">
      <c r="A280" s="3">
        <v>45570</v>
      </c>
      <c r="B280" t="s">
        <v>69</v>
      </c>
      <c r="C280">
        <v>10</v>
      </c>
      <c r="D280">
        <v>1006</v>
      </c>
      <c r="E280">
        <v>790</v>
      </c>
      <c r="F280">
        <v>34</v>
      </c>
      <c r="G280">
        <v>39</v>
      </c>
      <c r="H280">
        <v>46</v>
      </c>
      <c r="I280">
        <v>2</v>
      </c>
      <c r="J280">
        <v>6</v>
      </c>
      <c r="K280">
        <v>16</v>
      </c>
      <c r="L280">
        <v>7</v>
      </c>
      <c r="M280">
        <v>33</v>
      </c>
      <c r="N280">
        <v>28</v>
      </c>
      <c r="O280">
        <v>20</v>
      </c>
      <c r="P280">
        <v>6</v>
      </c>
      <c r="Q280">
        <v>40</v>
      </c>
      <c r="R280">
        <v>49</v>
      </c>
      <c r="S280">
        <v>40</v>
      </c>
      <c r="T280">
        <v>13</v>
      </c>
      <c r="U280">
        <v>15</v>
      </c>
      <c r="V280">
        <v>14</v>
      </c>
      <c r="W280">
        <v>38</v>
      </c>
      <c r="X280">
        <v>6</v>
      </c>
      <c r="Y280">
        <v>40</v>
      </c>
      <c r="Z280">
        <v>34</v>
      </c>
      <c r="AA280">
        <v>37</v>
      </c>
      <c r="AB280">
        <v>20</v>
      </c>
      <c r="AC280">
        <v>22</v>
      </c>
      <c r="AD280">
        <v>24</v>
      </c>
      <c r="AE280">
        <v>37</v>
      </c>
      <c r="AF280">
        <v>12</v>
      </c>
      <c r="AG280">
        <v>19</v>
      </c>
      <c r="AH280">
        <v>37</v>
      </c>
      <c r="AI280">
        <v>42</v>
      </c>
      <c r="AJ280">
        <v>40</v>
      </c>
      <c r="AK280">
        <v>4</v>
      </c>
      <c r="AL280">
        <v>20</v>
      </c>
      <c r="AM280">
        <v>44</v>
      </c>
      <c r="AN280">
        <v>38</v>
      </c>
      <c r="AO280">
        <v>42</v>
      </c>
      <c r="AP280">
        <v>21</v>
      </c>
      <c r="AQ280">
        <v>14</v>
      </c>
      <c r="AR280">
        <v>42</v>
      </c>
      <c r="AS280">
        <v>9</v>
      </c>
      <c r="AT280">
        <v>36</v>
      </c>
      <c r="AU280">
        <v>17</v>
      </c>
      <c r="AV280">
        <v>24</v>
      </c>
      <c r="AW280">
        <v>0</v>
      </c>
      <c r="AX280">
        <v>23</v>
      </c>
      <c r="AY280">
        <v>35</v>
      </c>
      <c r="AZ280">
        <v>45</v>
      </c>
      <c r="BA280">
        <v>43</v>
      </c>
      <c r="BB280">
        <v>18</v>
      </c>
      <c r="BC280">
        <v>18</v>
      </c>
      <c r="BD280">
        <v>19</v>
      </c>
      <c r="BE280">
        <v>42</v>
      </c>
      <c r="BF280">
        <v>182090</v>
      </c>
      <c r="BG280">
        <v>7151</v>
      </c>
    </row>
    <row r="281" spans="1:59" x14ac:dyDescent="0.3">
      <c r="A281" s="3">
        <v>45571</v>
      </c>
      <c r="B281" t="s">
        <v>69</v>
      </c>
      <c r="C281">
        <v>10</v>
      </c>
      <c r="D281">
        <v>1008</v>
      </c>
      <c r="E281">
        <v>791</v>
      </c>
      <c r="F281">
        <v>9</v>
      </c>
      <c r="G281">
        <v>12</v>
      </c>
      <c r="H281">
        <v>12</v>
      </c>
      <c r="I281">
        <v>30</v>
      </c>
      <c r="J281">
        <v>19</v>
      </c>
      <c r="K281">
        <v>9</v>
      </c>
      <c r="L281">
        <v>30</v>
      </c>
      <c r="M281">
        <v>3</v>
      </c>
      <c r="N281">
        <v>15</v>
      </c>
      <c r="O281">
        <v>6</v>
      </c>
      <c r="P281">
        <v>42</v>
      </c>
      <c r="Q281">
        <v>21</v>
      </c>
      <c r="R281">
        <v>23</v>
      </c>
      <c r="S281">
        <v>10</v>
      </c>
      <c r="T281">
        <v>48</v>
      </c>
      <c r="U281">
        <v>33</v>
      </c>
      <c r="V281">
        <v>28</v>
      </c>
      <c r="W281">
        <v>48</v>
      </c>
      <c r="X281">
        <v>10</v>
      </c>
      <c r="Y281">
        <v>45</v>
      </c>
      <c r="Z281">
        <v>24</v>
      </c>
      <c r="AA281">
        <v>20</v>
      </c>
      <c r="AB281">
        <v>41</v>
      </c>
      <c r="AC281">
        <v>36</v>
      </c>
      <c r="AD281">
        <v>41</v>
      </c>
      <c r="AE281">
        <v>10</v>
      </c>
      <c r="AF281">
        <v>16</v>
      </c>
      <c r="AG281">
        <v>3</v>
      </c>
      <c r="AH281">
        <v>37</v>
      </c>
      <c r="AI281">
        <v>15</v>
      </c>
      <c r="AJ281">
        <v>28</v>
      </c>
      <c r="AK281">
        <v>41</v>
      </c>
      <c r="AL281">
        <v>43</v>
      </c>
      <c r="AM281">
        <v>19</v>
      </c>
      <c r="AN281">
        <v>30</v>
      </c>
      <c r="AO281">
        <v>36</v>
      </c>
      <c r="AP281">
        <v>17</v>
      </c>
      <c r="AQ281">
        <v>45</v>
      </c>
      <c r="AR281">
        <v>32</v>
      </c>
      <c r="AS281">
        <v>26</v>
      </c>
      <c r="AT281">
        <v>4</v>
      </c>
      <c r="AU281">
        <v>10</v>
      </c>
      <c r="AV281">
        <v>10</v>
      </c>
      <c r="AW281">
        <v>24</v>
      </c>
      <c r="AX281">
        <v>38</v>
      </c>
      <c r="AY281">
        <v>48</v>
      </c>
      <c r="AZ281">
        <v>15</v>
      </c>
      <c r="BA281">
        <v>45</v>
      </c>
      <c r="BB281">
        <v>48</v>
      </c>
      <c r="BC281">
        <v>34</v>
      </c>
      <c r="BD281">
        <v>12</v>
      </c>
      <c r="BE281">
        <v>20</v>
      </c>
      <c r="BF281">
        <v>182641</v>
      </c>
      <c r="BG281">
        <v>7163</v>
      </c>
    </row>
    <row r="282" spans="1:59" x14ac:dyDescent="0.3">
      <c r="A282" s="3">
        <v>45572</v>
      </c>
      <c r="B282" t="s">
        <v>69</v>
      </c>
      <c r="C282">
        <v>10</v>
      </c>
      <c r="D282">
        <v>1010</v>
      </c>
      <c r="E282">
        <v>791</v>
      </c>
      <c r="F282">
        <v>7</v>
      </c>
      <c r="G282">
        <v>2</v>
      </c>
      <c r="H282">
        <v>9</v>
      </c>
      <c r="I282">
        <v>31</v>
      </c>
      <c r="J282">
        <v>5</v>
      </c>
      <c r="K282">
        <v>48</v>
      </c>
      <c r="L282">
        <v>47</v>
      </c>
      <c r="M282">
        <v>46</v>
      </c>
      <c r="N282">
        <v>34</v>
      </c>
      <c r="O282">
        <v>13</v>
      </c>
      <c r="P282">
        <v>42</v>
      </c>
      <c r="Q282">
        <v>48</v>
      </c>
      <c r="R282">
        <v>21</v>
      </c>
      <c r="S282">
        <v>2</v>
      </c>
      <c r="T282">
        <v>48</v>
      </c>
      <c r="U282">
        <v>26</v>
      </c>
      <c r="V282">
        <v>11</v>
      </c>
      <c r="W282">
        <v>10</v>
      </c>
      <c r="X282">
        <v>48</v>
      </c>
      <c r="Y282">
        <v>0</v>
      </c>
      <c r="Z282">
        <v>6</v>
      </c>
      <c r="AA282">
        <v>18</v>
      </c>
      <c r="AB282">
        <v>32</v>
      </c>
      <c r="AC282">
        <v>45</v>
      </c>
      <c r="AD282">
        <v>40</v>
      </c>
      <c r="AE282">
        <v>31</v>
      </c>
      <c r="AF282">
        <v>48</v>
      </c>
      <c r="AG282">
        <v>30</v>
      </c>
      <c r="AH282">
        <v>45</v>
      </c>
      <c r="AI282">
        <v>18</v>
      </c>
      <c r="AJ282">
        <v>18</v>
      </c>
      <c r="AK282">
        <v>49</v>
      </c>
      <c r="AL282">
        <v>42</v>
      </c>
      <c r="AM282">
        <v>48</v>
      </c>
      <c r="AN282">
        <v>19</v>
      </c>
      <c r="AO282">
        <v>22</v>
      </c>
      <c r="AP282">
        <v>37</v>
      </c>
      <c r="AQ282">
        <v>22</v>
      </c>
      <c r="AR282">
        <v>21</v>
      </c>
      <c r="AS282">
        <v>40</v>
      </c>
      <c r="AT282">
        <v>15</v>
      </c>
      <c r="AU282">
        <v>43</v>
      </c>
      <c r="AV282">
        <v>44</v>
      </c>
      <c r="AW282">
        <v>8</v>
      </c>
      <c r="AX282">
        <v>0</v>
      </c>
      <c r="AY282">
        <v>36</v>
      </c>
      <c r="AZ282">
        <v>36</v>
      </c>
      <c r="BA282">
        <v>47</v>
      </c>
      <c r="BB282">
        <v>5</v>
      </c>
      <c r="BC282">
        <v>10</v>
      </c>
      <c r="BD282">
        <v>21</v>
      </c>
      <c r="BE282">
        <v>12</v>
      </c>
      <c r="BF282">
        <v>183191</v>
      </c>
      <c r="BG282">
        <v>7175</v>
      </c>
    </row>
    <row r="283" spans="1:59" x14ac:dyDescent="0.3">
      <c r="A283" s="3">
        <v>45573</v>
      </c>
      <c r="B283" t="s">
        <v>69</v>
      </c>
      <c r="C283">
        <v>10</v>
      </c>
      <c r="D283">
        <v>1011</v>
      </c>
      <c r="E283">
        <v>792</v>
      </c>
      <c r="F283">
        <v>47</v>
      </c>
      <c r="G283">
        <v>5</v>
      </c>
      <c r="H283">
        <v>32</v>
      </c>
      <c r="I283">
        <v>20</v>
      </c>
      <c r="J283">
        <v>9</v>
      </c>
      <c r="K283">
        <v>19</v>
      </c>
      <c r="L283">
        <v>45</v>
      </c>
      <c r="M283">
        <v>27</v>
      </c>
      <c r="N283">
        <v>31</v>
      </c>
      <c r="O283">
        <v>22</v>
      </c>
      <c r="P283">
        <v>40</v>
      </c>
      <c r="Q283">
        <v>0</v>
      </c>
      <c r="R283">
        <v>41</v>
      </c>
      <c r="S283">
        <v>40</v>
      </c>
      <c r="T283">
        <v>6</v>
      </c>
      <c r="U283">
        <v>6</v>
      </c>
      <c r="V283">
        <v>17</v>
      </c>
      <c r="W283">
        <v>43</v>
      </c>
      <c r="X283">
        <v>11</v>
      </c>
      <c r="Y283">
        <v>17</v>
      </c>
      <c r="Z283">
        <v>0</v>
      </c>
      <c r="AA283">
        <v>14</v>
      </c>
      <c r="AB283">
        <v>48</v>
      </c>
      <c r="AC283">
        <v>14</v>
      </c>
      <c r="AD283">
        <v>2</v>
      </c>
      <c r="AE283">
        <v>21</v>
      </c>
      <c r="AF283">
        <v>47</v>
      </c>
      <c r="AG283">
        <v>46</v>
      </c>
      <c r="AH283">
        <v>24</v>
      </c>
      <c r="AI283">
        <v>49</v>
      </c>
      <c r="AJ283">
        <v>5</v>
      </c>
      <c r="AK283">
        <v>23</v>
      </c>
      <c r="AL283">
        <v>23</v>
      </c>
      <c r="AM283">
        <v>8</v>
      </c>
      <c r="AN283">
        <v>47</v>
      </c>
      <c r="AO283">
        <v>26</v>
      </c>
      <c r="AP283">
        <v>13</v>
      </c>
      <c r="AQ283">
        <v>27</v>
      </c>
      <c r="AR283">
        <v>29</v>
      </c>
      <c r="AS283">
        <v>45</v>
      </c>
      <c r="AT283">
        <v>3</v>
      </c>
      <c r="AU283">
        <v>31</v>
      </c>
      <c r="AV283">
        <v>49</v>
      </c>
      <c r="AW283">
        <v>16</v>
      </c>
      <c r="AX283">
        <v>33</v>
      </c>
      <c r="AY283">
        <v>4</v>
      </c>
      <c r="AZ283">
        <v>1</v>
      </c>
      <c r="BA283">
        <v>45</v>
      </c>
      <c r="BB283">
        <v>7</v>
      </c>
      <c r="BC283">
        <v>26</v>
      </c>
      <c r="BD283">
        <v>43</v>
      </c>
      <c r="BE283">
        <v>29</v>
      </c>
      <c r="BF283">
        <v>183742</v>
      </c>
      <c r="BG283">
        <v>7187</v>
      </c>
    </row>
    <row r="284" spans="1:59" x14ac:dyDescent="0.3">
      <c r="A284" s="3">
        <v>45574</v>
      </c>
      <c r="B284" t="s">
        <v>69</v>
      </c>
      <c r="C284">
        <v>10</v>
      </c>
      <c r="D284">
        <v>1013</v>
      </c>
      <c r="E284">
        <v>793</v>
      </c>
      <c r="F284">
        <v>14</v>
      </c>
      <c r="G284">
        <v>38</v>
      </c>
      <c r="H284">
        <v>16</v>
      </c>
      <c r="I284">
        <v>12</v>
      </c>
      <c r="J284">
        <v>17</v>
      </c>
      <c r="K284">
        <v>17</v>
      </c>
      <c r="L284">
        <v>30</v>
      </c>
      <c r="M284">
        <v>41</v>
      </c>
      <c r="N284">
        <v>15</v>
      </c>
      <c r="O284">
        <v>33</v>
      </c>
      <c r="P284">
        <v>34</v>
      </c>
      <c r="Q284">
        <v>0</v>
      </c>
      <c r="R284">
        <v>19</v>
      </c>
      <c r="S284">
        <v>31</v>
      </c>
      <c r="T284">
        <v>30</v>
      </c>
      <c r="U284">
        <v>24</v>
      </c>
      <c r="V284">
        <v>27</v>
      </c>
      <c r="W284">
        <v>46</v>
      </c>
      <c r="X284">
        <v>16</v>
      </c>
      <c r="Y284">
        <v>18</v>
      </c>
      <c r="Z284">
        <v>43</v>
      </c>
      <c r="AA284">
        <v>46</v>
      </c>
      <c r="AB284">
        <v>38</v>
      </c>
      <c r="AC284">
        <v>16</v>
      </c>
      <c r="AD284">
        <v>33</v>
      </c>
      <c r="AE284">
        <v>3</v>
      </c>
      <c r="AF284">
        <v>22</v>
      </c>
      <c r="AG284">
        <v>2</v>
      </c>
      <c r="AH284">
        <v>17</v>
      </c>
      <c r="AI284">
        <v>1</v>
      </c>
      <c r="AJ284">
        <v>41</v>
      </c>
      <c r="AK284">
        <v>22</v>
      </c>
      <c r="AL284">
        <v>3</v>
      </c>
      <c r="AM284">
        <v>42</v>
      </c>
      <c r="AN284">
        <v>13</v>
      </c>
      <c r="AO284">
        <v>27</v>
      </c>
      <c r="AP284">
        <v>44</v>
      </c>
      <c r="AQ284">
        <v>26</v>
      </c>
      <c r="AR284">
        <v>28</v>
      </c>
      <c r="AS284">
        <v>8</v>
      </c>
      <c r="AT284">
        <v>19</v>
      </c>
      <c r="AU284">
        <v>45</v>
      </c>
      <c r="AV284">
        <v>48</v>
      </c>
      <c r="AW284">
        <v>25</v>
      </c>
      <c r="AX284">
        <v>7</v>
      </c>
      <c r="AY284">
        <v>21</v>
      </c>
      <c r="AZ284">
        <v>29</v>
      </c>
      <c r="BA284">
        <v>19</v>
      </c>
      <c r="BB284">
        <v>31</v>
      </c>
      <c r="BC284">
        <v>16</v>
      </c>
      <c r="BD284">
        <v>34</v>
      </c>
      <c r="BE284">
        <v>4</v>
      </c>
      <c r="BF284">
        <v>184293</v>
      </c>
      <c r="BG284">
        <v>7199</v>
      </c>
    </row>
    <row r="285" spans="1:59" x14ac:dyDescent="0.3">
      <c r="A285" s="3">
        <v>45575</v>
      </c>
      <c r="B285" t="s">
        <v>69</v>
      </c>
      <c r="C285">
        <v>10</v>
      </c>
      <c r="D285">
        <v>1015</v>
      </c>
      <c r="E285">
        <v>793</v>
      </c>
      <c r="F285">
        <v>10</v>
      </c>
      <c r="G285">
        <v>8</v>
      </c>
      <c r="H285">
        <v>39</v>
      </c>
      <c r="I285">
        <v>41</v>
      </c>
      <c r="J285">
        <v>42</v>
      </c>
      <c r="K285">
        <v>46</v>
      </c>
      <c r="L285">
        <v>46</v>
      </c>
      <c r="M285">
        <v>30</v>
      </c>
      <c r="N285">
        <v>40</v>
      </c>
      <c r="O285">
        <v>49</v>
      </c>
      <c r="P285">
        <v>28</v>
      </c>
      <c r="Q285">
        <v>49</v>
      </c>
      <c r="R285">
        <v>24</v>
      </c>
      <c r="S285">
        <v>39</v>
      </c>
      <c r="T285">
        <v>45</v>
      </c>
      <c r="U285">
        <v>9</v>
      </c>
      <c r="V285">
        <v>14</v>
      </c>
      <c r="W285">
        <v>37</v>
      </c>
      <c r="X285">
        <v>38</v>
      </c>
      <c r="Y285">
        <v>21</v>
      </c>
      <c r="Z285">
        <v>48</v>
      </c>
      <c r="AA285">
        <v>39</v>
      </c>
      <c r="AB285">
        <v>49</v>
      </c>
      <c r="AC285">
        <v>20</v>
      </c>
      <c r="AD285">
        <v>35</v>
      </c>
      <c r="AE285">
        <v>13</v>
      </c>
      <c r="AF285">
        <v>26</v>
      </c>
      <c r="AG285">
        <v>32</v>
      </c>
      <c r="AH285">
        <v>7</v>
      </c>
      <c r="AI285">
        <v>35</v>
      </c>
      <c r="AJ285">
        <v>43</v>
      </c>
      <c r="AK285">
        <v>17</v>
      </c>
      <c r="AL285">
        <v>30</v>
      </c>
      <c r="AM285">
        <v>15</v>
      </c>
      <c r="AN285">
        <v>46</v>
      </c>
      <c r="AO285">
        <v>2</v>
      </c>
      <c r="AP285">
        <v>13</v>
      </c>
      <c r="AQ285">
        <v>47</v>
      </c>
      <c r="AR285">
        <v>18</v>
      </c>
      <c r="AS285">
        <v>1</v>
      </c>
      <c r="AT285">
        <v>16</v>
      </c>
      <c r="AU285">
        <v>44</v>
      </c>
      <c r="AV285">
        <v>36</v>
      </c>
      <c r="AW285">
        <v>9</v>
      </c>
      <c r="AX285">
        <v>44</v>
      </c>
      <c r="AY285">
        <v>2</v>
      </c>
      <c r="AZ285">
        <v>13</v>
      </c>
      <c r="BA285">
        <v>33</v>
      </c>
      <c r="BB285">
        <v>11</v>
      </c>
      <c r="BC285">
        <v>8</v>
      </c>
      <c r="BD285">
        <v>13</v>
      </c>
      <c r="BE285">
        <v>45</v>
      </c>
      <c r="BF285">
        <v>184843</v>
      </c>
      <c r="BG285">
        <v>7211</v>
      </c>
    </row>
    <row r="286" spans="1:59" x14ac:dyDescent="0.3">
      <c r="A286" s="3">
        <v>45576</v>
      </c>
      <c r="B286" t="s">
        <v>69</v>
      </c>
      <c r="C286">
        <v>10</v>
      </c>
      <c r="D286">
        <v>1016</v>
      </c>
      <c r="E286">
        <v>794</v>
      </c>
      <c r="F286">
        <v>46</v>
      </c>
      <c r="G286">
        <v>2</v>
      </c>
      <c r="H286">
        <v>15</v>
      </c>
      <c r="I286">
        <v>8</v>
      </c>
      <c r="J286">
        <v>12</v>
      </c>
      <c r="K286">
        <v>32</v>
      </c>
      <c r="L286">
        <v>6</v>
      </c>
      <c r="M286">
        <v>43</v>
      </c>
      <c r="N286">
        <v>8</v>
      </c>
      <c r="O286">
        <v>34</v>
      </c>
      <c r="P286">
        <v>10</v>
      </c>
      <c r="Q286">
        <v>11</v>
      </c>
      <c r="R286">
        <v>5</v>
      </c>
      <c r="S286">
        <v>7</v>
      </c>
      <c r="T286">
        <v>15</v>
      </c>
      <c r="U286">
        <v>33</v>
      </c>
      <c r="V286">
        <v>7</v>
      </c>
      <c r="W286">
        <v>4</v>
      </c>
      <c r="X286">
        <v>11</v>
      </c>
      <c r="Y286">
        <v>38</v>
      </c>
      <c r="Z286">
        <v>16</v>
      </c>
      <c r="AA286">
        <v>31</v>
      </c>
      <c r="AB286">
        <v>21</v>
      </c>
      <c r="AC286">
        <v>29</v>
      </c>
      <c r="AD286">
        <v>18</v>
      </c>
      <c r="AE286">
        <v>21</v>
      </c>
      <c r="AF286">
        <v>8</v>
      </c>
      <c r="AG286">
        <v>16</v>
      </c>
      <c r="AH286">
        <v>18</v>
      </c>
      <c r="AI286">
        <v>27</v>
      </c>
      <c r="AJ286">
        <v>31</v>
      </c>
      <c r="AK286">
        <v>30</v>
      </c>
      <c r="AL286">
        <v>24</v>
      </c>
      <c r="AM286">
        <v>48</v>
      </c>
      <c r="AN286">
        <v>29</v>
      </c>
      <c r="AO286">
        <v>14</v>
      </c>
      <c r="AP286">
        <v>3</v>
      </c>
      <c r="AQ286">
        <v>37</v>
      </c>
      <c r="AR286">
        <v>26</v>
      </c>
      <c r="AS286">
        <v>18</v>
      </c>
      <c r="AT286">
        <v>35</v>
      </c>
      <c r="AU286">
        <v>36</v>
      </c>
      <c r="AV286">
        <v>44</v>
      </c>
      <c r="AW286">
        <v>17</v>
      </c>
      <c r="AX286">
        <v>3</v>
      </c>
      <c r="AY286">
        <v>30</v>
      </c>
      <c r="AZ286">
        <v>33</v>
      </c>
      <c r="BA286">
        <v>12</v>
      </c>
      <c r="BB286">
        <v>7</v>
      </c>
      <c r="BC286">
        <v>1</v>
      </c>
      <c r="BD286">
        <v>12</v>
      </c>
      <c r="BE286">
        <v>48</v>
      </c>
      <c r="BF286">
        <v>185394</v>
      </c>
      <c r="BG286">
        <v>7223</v>
      </c>
    </row>
    <row r="287" spans="1:59" x14ac:dyDescent="0.3">
      <c r="A287" s="3">
        <v>45577</v>
      </c>
      <c r="B287" t="s">
        <v>69</v>
      </c>
      <c r="C287">
        <v>10</v>
      </c>
      <c r="D287">
        <v>1018</v>
      </c>
      <c r="E287">
        <v>795</v>
      </c>
      <c r="F287">
        <v>23</v>
      </c>
      <c r="G287">
        <v>9</v>
      </c>
      <c r="H287">
        <v>6</v>
      </c>
      <c r="I287">
        <v>35</v>
      </c>
      <c r="J287">
        <v>31</v>
      </c>
      <c r="K287">
        <v>44</v>
      </c>
      <c r="L287">
        <v>38</v>
      </c>
      <c r="M287">
        <v>25</v>
      </c>
      <c r="N287">
        <v>44</v>
      </c>
      <c r="O287">
        <v>12</v>
      </c>
      <c r="P287">
        <v>25</v>
      </c>
      <c r="Q287">
        <v>19</v>
      </c>
      <c r="R287">
        <v>3</v>
      </c>
      <c r="S287">
        <v>34</v>
      </c>
      <c r="T287">
        <v>46</v>
      </c>
      <c r="U287">
        <v>26</v>
      </c>
      <c r="V287">
        <v>7</v>
      </c>
      <c r="W287">
        <v>38</v>
      </c>
      <c r="X287">
        <v>17</v>
      </c>
      <c r="Y287">
        <v>46</v>
      </c>
      <c r="Z287">
        <v>2</v>
      </c>
      <c r="AA287">
        <v>40</v>
      </c>
      <c r="AB287">
        <v>9</v>
      </c>
      <c r="AC287">
        <v>10</v>
      </c>
      <c r="AD287">
        <v>43</v>
      </c>
      <c r="AE287">
        <v>14</v>
      </c>
      <c r="AF287">
        <v>7</v>
      </c>
      <c r="AG287">
        <v>19</v>
      </c>
      <c r="AH287">
        <v>23</v>
      </c>
      <c r="AI287">
        <v>29</v>
      </c>
      <c r="AJ287">
        <v>36</v>
      </c>
      <c r="AK287">
        <v>44</v>
      </c>
      <c r="AL287">
        <v>40</v>
      </c>
      <c r="AM287">
        <v>12</v>
      </c>
      <c r="AN287">
        <v>25</v>
      </c>
      <c r="AO287">
        <v>25</v>
      </c>
      <c r="AP287">
        <v>23</v>
      </c>
      <c r="AQ287">
        <v>4</v>
      </c>
      <c r="AR287">
        <v>10</v>
      </c>
      <c r="AS287">
        <v>12</v>
      </c>
      <c r="AT287">
        <v>6</v>
      </c>
      <c r="AU287">
        <v>6</v>
      </c>
      <c r="AV287">
        <v>32</v>
      </c>
      <c r="AW287">
        <v>24</v>
      </c>
      <c r="AX287">
        <v>20</v>
      </c>
      <c r="AY287">
        <v>10</v>
      </c>
      <c r="AZ287">
        <v>2</v>
      </c>
      <c r="BA287">
        <v>27</v>
      </c>
      <c r="BB287">
        <v>34</v>
      </c>
      <c r="BC287">
        <v>21</v>
      </c>
      <c r="BD287">
        <v>32</v>
      </c>
      <c r="BE287">
        <v>1</v>
      </c>
      <c r="BF287">
        <v>185945</v>
      </c>
      <c r="BG287">
        <v>7235</v>
      </c>
    </row>
    <row r="288" spans="1:59" x14ac:dyDescent="0.3">
      <c r="A288" s="3">
        <v>45578</v>
      </c>
      <c r="B288" t="s">
        <v>69</v>
      </c>
      <c r="C288">
        <v>10</v>
      </c>
      <c r="D288">
        <v>1020</v>
      </c>
      <c r="E288">
        <v>795</v>
      </c>
      <c r="F288">
        <v>38</v>
      </c>
      <c r="G288">
        <v>12</v>
      </c>
      <c r="H288">
        <v>41</v>
      </c>
      <c r="I288">
        <v>18</v>
      </c>
      <c r="J288">
        <v>23</v>
      </c>
      <c r="K288">
        <v>0</v>
      </c>
      <c r="L288">
        <v>23</v>
      </c>
      <c r="M288">
        <v>40</v>
      </c>
      <c r="N288">
        <v>2</v>
      </c>
      <c r="O288">
        <v>26</v>
      </c>
      <c r="P288">
        <v>13</v>
      </c>
      <c r="Q288">
        <v>15</v>
      </c>
      <c r="R288">
        <v>3</v>
      </c>
      <c r="S288">
        <v>47</v>
      </c>
      <c r="T288">
        <v>16</v>
      </c>
      <c r="U288">
        <v>21</v>
      </c>
      <c r="V288">
        <v>18</v>
      </c>
      <c r="W288">
        <v>0</v>
      </c>
      <c r="X288">
        <v>41</v>
      </c>
      <c r="Y288">
        <v>7</v>
      </c>
      <c r="Z288">
        <v>23</v>
      </c>
      <c r="AA288">
        <v>29</v>
      </c>
      <c r="AB288">
        <v>6</v>
      </c>
      <c r="AC288">
        <v>9</v>
      </c>
      <c r="AD288">
        <v>48</v>
      </c>
      <c r="AE288">
        <v>44</v>
      </c>
      <c r="AF288">
        <v>16</v>
      </c>
      <c r="AG288">
        <v>3</v>
      </c>
      <c r="AH288">
        <v>8</v>
      </c>
      <c r="AI288">
        <v>38</v>
      </c>
      <c r="AJ288">
        <v>17</v>
      </c>
      <c r="AK288">
        <v>26</v>
      </c>
      <c r="AL288">
        <v>34</v>
      </c>
      <c r="AM288">
        <v>26</v>
      </c>
      <c r="AN288">
        <v>28</v>
      </c>
      <c r="AO288">
        <v>8</v>
      </c>
      <c r="AP288">
        <v>5</v>
      </c>
      <c r="AQ288">
        <v>45</v>
      </c>
      <c r="AR288">
        <v>0</v>
      </c>
      <c r="AS288">
        <v>18</v>
      </c>
      <c r="AT288">
        <v>20</v>
      </c>
      <c r="AU288">
        <v>42</v>
      </c>
      <c r="AV288">
        <v>25</v>
      </c>
      <c r="AW288">
        <v>36</v>
      </c>
      <c r="AX288">
        <v>15</v>
      </c>
      <c r="AY288">
        <v>12</v>
      </c>
      <c r="AZ288">
        <v>13</v>
      </c>
      <c r="BA288">
        <v>4</v>
      </c>
      <c r="BB288">
        <v>33</v>
      </c>
      <c r="BC288">
        <v>37</v>
      </c>
      <c r="BD288">
        <v>2</v>
      </c>
      <c r="BE288">
        <v>18</v>
      </c>
      <c r="BF288">
        <v>186495</v>
      </c>
      <c r="BG288">
        <v>7247</v>
      </c>
    </row>
    <row r="289" spans="1:59" x14ac:dyDescent="0.3">
      <c r="A289" s="3">
        <v>45579</v>
      </c>
      <c r="B289" t="s">
        <v>69</v>
      </c>
      <c r="C289">
        <v>10</v>
      </c>
      <c r="D289">
        <v>1021</v>
      </c>
      <c r="E289">
        <v>796</v>
      </c>
      <c r="F289">
        <v>12</v>
      </c>
      <c r="G289">
        <v>18</v>
      </c>
      <c r="H289">
        <v>43</v>
      </c>
      <c r="I289">
        <v>45</v>
      </c>
      <c r="J289">
        <v>8</v>
      </c>
      <c r="K289">
        <v>11</v>
      </c>
      <c r="L289">
        <v>15</v>
      </c>
      <c r="M289">
        <v>45</v>
      </c>
      <c r="N289">
        <v>5</v>
      </c>
      <c r="O289">
        <v>14</v>
      </c>
      <c r="P289">
        <v>28</v>
      </c>
      <c r="Q289">
        <v>27</v>
      </c>
      <c r="R289">
        <v>3</v>
      </c>
      <c r="S289">
        <v>41</v>
      </c>
      <c r="T289">
        <v>29</v>
      </c>
      <c r="U289">
        <v>37</v>
      </c>
      <c r="V289">
        <v>2</v>
      </c>
      <c r="W289">
        <v>14</v>
      </c>
      <c r="X289">
        <v>37</v>
      </c>
      <c r="Y289">
        <v>25</v>
      </c>
      <c r="Z289">
        <v>10</v>
      </c>
      <c r="AA289">
        <v>15</v>
      </c>
      <c r="AB289">
        <v>34</v>
      </c>
      <c r="AC289">
        <v>39</v>
      </c>
      <c r="AD289">
        <v>30</v>
      </c>
      <c r="AE289">
        <v>2</v>
      </c>
      <c r="AF289">
        <v>10</v>
      </c>
      <c r="AG289">
        <v>4</v>
      </c>
      <c r="AH289">
        <v>20</v>
      </c>
      <c r="AI289">
        <v>48</v>
      </c>
      <c r="AJ289">
        <v>2</v>
      </c>
      <c r="AK289">
        <v>28</v>
      </c>
      <c r="AL289">
        <v>48</v>
      </c>
      <c r="AM289">
        <v>21</v>
      </c>
      <c r="AN289">
        <v>32</v>
      </c>
      <c r="AO289">
        <v>33</v>
      </c>
      <c r="AP289">
        <v>4</v>
      </c>
      <c r="AQ289">
        <v>34</v>
      </c>
      <c r="AR289">
        <v>15</v>
      </c>
      <c r="AS289">
        <v>32</v>
      </c>
      <c r="AT289">
        <v>23</v>
      </c>
      <c r="AU289">
        <v>38</v>
      </c>
      <c r="AV289">
        <v>42</v>
      </c>
      <c r="AW289">
        <v>3</v>
      </c>
      <c r="AX289">
        <v>43</v>
      </c>
      <c r="AY289">
        <v>49</v>
      </c>
      <c r="AZ289">
        <v>33</v>
      </c>
      <c r="BA289">
        <v>41</v>
      </c>
      <c r="BB289">
        <v>40</v>
      </c>
      <c r="BC289">
        <v>48</v>
      </c>
      <c r="BD289">
        <v>13</v>
      </c>
      <c r="BE289">
        <v>14</v>
      </c>
      <c r="BF289">
        <v>187046</v>
      </c>
      <c r="BG289">
        <v>7259</v>
      </c>
    </row>
    <row r="290" spans="1:59" x14ac:dyDescent="0.3">
      <c r="A290" s="3">
        <v>45580</v>
      </c>
      <c r="B290" t="s">
        <v>69</v>
      </c>
      <c r="C290">
        <v>10</v>
      </c>
      <c r="D290">
        <v>1023</v>
      </c>
      <c r="E290">
        <v>797</v>
      </c>
      <c r="F290">
        <v>17</v>
      </c>
      <c r="G290">
        <v>5</v>
      </c>
      <c r="H290">
        <v>25</v>
      </c>
      <c r="I290">
        <v>2</v>
      </c>
      <c r="J290">
        <v>44</v>
      </c>
      <c r="K290">
        <v>45</v>
      </c>
      <c r="L290">
        <v>11</v>
      </c>
      <c r="M290">
        <v>41</v>
      </c>
      <c r="N290">
        <v>38</v>
      </c>
      <c r="O290">
        <v>16</v>
      </c>
      <c r="P290">
        <v>48</v>
      </c>
      <c r="Q290">
        <v>32</v>
      </c>
      <c r="R290">
        <v>32</v>
      </c>
      <c r="S290">
        <v>31</v>
      </c>
      <c r="T290">
        <v>7</v>
      </c>
      <c r="U290">
        <v>40</v>
      </c>
      <c r="V290">
        <v>22</v>
      </c>
      <c r="W290">
        <v>23</v>
      </c>
      <c r="X290">
        <v>11</v>
      </c>
      <c r="Y290">
        <v>48</v>
      </c>
      <c r="Z290">
        <v>6</v>
      </c>
      <c r="AA290">
        <v>49</v>
      </c>
      <c r="AB290">
        <v>7</v>
      </c>
      <c r="AC290">
        <v>48</v>
      </c>
      <c r="AD290">
        <v>5</v>
      </c>
      <c r="AE290">
        <v>43</v>
      </c>
      <c r="AF290">
        <v>18</v>
      </c>
      <c r="AG290">
        <v>33</v>
      </c>
      <c r="AH290">
        <v>18</v>
      </c>
      <c r="AI290">
        <v>14</v>
      </c>
      <c r="AJ290">
        <v>11</v>
      </c>
      <c r="AK290">
        <v>34</v>
      </c>
      <c r="AL290">
        <v>28</v>
      </c>
      <c r="AM290">
        <v>49</v>
      </c>
      <c r="AN290">
        <v>46</v>
      </c>
      <c r="AO290">
        <v>21</v>
      </c>
      <c r="AP290">
        <v>43</v>
      </c>
      <c r="AQ290">
        <v>46</v>
      </c>
      <c r="AR290">
        <v>46</v>
      </c>
      <c r="AS290">
        <v>37</v>
      </c>
      <c r="AT290">
        <v>35</v>
      </c>
      <c r="AU290">
        <v>3</v>
      </c>
      <c r="AV290">
        <v>4</v>
      </c>
      <c r="AW290">
        <v>41</v>
      </c>
      <c r="AX290">
        <v>32</v>
      </c>
      <c r="AY290">
        <v>36</v>
      </c>
      <c r="AZ290">
        <v>22</v>
      </c>
      <c r="BA290">
        <v>17</v>
      </c>
      <c r="BB290">
        <v>18</v>
      </c>
      <c r="BC290">
        <v>11</v>
      </c>
      <c r="BD290">
        <v>19</v>
      </c>
      <c r="BE290">
        <v>26</v>
      </c>
      <c r="BF290">
        <v>187597</v>
      </c>
      <c r="BG290">
        <v>7271</v>
      </c>
    </row>
    <row r="291" spans="1:59" x14ac:dyDescent="0.3">
      <c r="A291" s="3">
        <v>45581</v>
      </c>
      <c r="B291" t="s">
        <v>69</v>
      </c>
      <c r="C291">
        <v>10</v>
      </c>
      <c r="D291">
        <v>1025</v>
      </c>
      <c r="E291">
        <v>797</v>
      </c>
      <c r="F291">
        <v>17</v>
      </c>
      <c r="G291">
        <v>29</v>
      </c>
      <c r="H291">
        <v>41</v>
      </c>
      <c r="I291">
        <v>34</v>
      </c>
      <c r="J291">
        <v>3</v>
      </c>
      <c r="K291">
        <v>12</v>
      </c>
      <c r="L291">
        <v>24</v>
      </c>
      <c r="M291">
        <v>46</v>
      </c>
      <c r="N291">
        <v>26</v>
      </c>
      <c r="O291">
        <v>44</v>
      </c>
      <c r="P291">
        <v>19</v>
      </c>
      <c r="Q291">
        <v>31</v>
      </c>
      <c r="R291">
        <v>48</v>
      </c>
      <c r="S291">
        <v>4</v>
      </c>
      <c r="T291">
        <v>25</v>
      </c>
      <c r="U291">
        <v>49</v>
      </c>
      <c r="V291">
        <v>18</v>
      </c>
      <c r="W291">
        <v>46</v>
      </c>
      <c r="X291">
        <v>22</v>
      </c>
      <c r="Y291">
        <v>40</v>
      </c>
      <c r="Z291">
        <v>44</v>
      </c>
      <c r="AA291">
        <v>14</v>
      </c>
      <c r="AB291">
        <v>21</v>
      </c>
      <c r="AC291">
        <v>32</v>
      </c>
      <c r="AD291">
        <v>9</v>
      </c>
      <c r="AE291">
        <v>22</v>
      </c>
      <c r="AF291">
        <v>3</v>
      </c>
      <c r="AG291">
        <v>10</v>
      </c>
      <c r="AH291">
        <v>28</v>
      </c>
      <c r="AI291">
        <v>2</v>
      </c>
      <c r="AJ291">
        <v>15</v>
      </c>
      <c r="AK291">
        <v>27</v>
      </c>
      <c r="AL291">
        <v>43</v>
      </c>
      <c r="AM291">
        <v>3</v>
      </c>
      <c r="AN291">
        <v>49</v>
      </c>
      <c r="AO291">
        <v>15</v>
      </c>
      <c r="AP291">
        <v>48</v>
      </c>
      <c r="AQ291">
        <v>19</v>
      </c>
      <c r="AR291">
        <v>5</v>
      </c>
      <c r="AS291">
        <v>35</v>
      </c>
      <c r="AT291">
        <v>40</v>
      </c>
      <c r="AU291">
        <v>21</v>
      </c>
      <c r="AV291">
        <v>31</v>
      </c>
      <c r="AW291">
        <v>16</v>
      </c>
      <c r="AX291">
        <v>13</v>
      </c>
      <c r="AY291">
        <v>27</v>
      </c>
      <c r="AZ291">
        <v>26</v>
      </c>
      <c r="BA291">
        <v>37</v>
      </c>
      <c r="BB291">
        <v>20</v>
      </c>
      <c r="BC291">
        <v>6</v>
      </c>
      <c r="BD291">
        <v>24</v>
      </c>
      <c r="BE291">
        <v>13</v>
      </c>
      <c r="BF291">
        <v>188147</v>
      </c>
      <c r="BG291">
        <v>7283</v>
      </c>
    </row>
    <row r="292" spans="1:59" x14ac:dyDescent="0.3">
      <c r="A292" s="3">
        <v>45582</v>
      </c>
      <c r="B292" t="s">
        <v>69</v>
      </c>
      <c r="C292">
        <v>10</v>
      </c>
      <c r="D292">
        <v>1026</v>
      </c>
      <c r="E292">
        <v>798</v>
      </c>
      <c r="F292">
        <v>47</v>
      </c>
      <c r="G292">
        <v>19</v>
      </c>
      <c r="H292">
        <v>44</v>
      </c>
      <c r="I292">
        <v>14</v>
      </c>
      <c r="J292">
        <v>23</v>
      </c>
      <c r="K292">
        <v>49</v>
      </c>
      <c r="L292">
        <v>27</v>
      </c>
      <c r="M292">
        <v>13</v>
      </c>
      <c r="N292">
        <v>42</v>
      </c>
      <c r="O292">
        <v>26</v>
      </c>
      <c r="P292">
        <v>15</v>
      </c>
      <c r="Q292">
        <v>9</v>
      </c>
      <c r="R292">
        <v>40</v>
      </c>
      <c r="S292">
        <v>37</v>
      </c>
      <c r="T292">
        <v>38</v>
      </c>
      <c r="U292">
        <v>30</v>
      </c>
      <c r="V292">
        <v>6</v>
      </c>
      <c r="W292">
        <v>41</v>
      </c>
      <c r="X292">
        <v>30</v>
      </c>
      <c r="Y292">
        <v>41</v>
      </c>
      <c r="Z292">
        <v>35</v>
      </c>
      <c r="AA292">
        <v>1</v>
      </c>
      <c r="AB292">
        <v>44</v>
      </c>
      <c r="AC292">
        <v>36</v>
      </c>
      <c r="AD292">
        <v>6</v>
      </c>
      <c r="AE292">
        <v>38</v>
      </c>
      <c r="AF292">
        <v>44</v>
      </c>
      <c r="AG292">
        <v>22</v>
      </c>
      <c r="AH292">
        <v>46</v>
      </c>
      <c r="AI292">
        <v>9</v>
      </c>
      <c r="AJ292">
        <v>47</v>
      </c>
      <c r="AK292">
        <v>4</v>
      </c>
      <c r="AL292">
        <v>0</v>
      </c>
      <c r="AM292">
        <v>41</v>
      </c>
      <c r="AN292">
        <v>46</v>
      </c>
      <c r="AO292">
        <v>27</v>
      </c>
      <c r="AP292">
        <v>15</v>
      </c>
      <c r="AQ292">
        <v>46</v>
      </c>
      <c r="AR292">
        <v>6</v>
      </c>
      <c r="AS292">
        <v>36</v>
      </c>
      <c r="AT292">
        <v>18</v>
      </c>
      <c r="AU292">
        <v>42</v>
      </c>
      <c r="AV292">
        <v>0</v>
      </c>
      <c r="AW292">
        <v>14</v>
      </c>
      <c r="AX292">
        <v>5</v>
      </c>
      <c r="AY292">
        <v>13</v>
      </c>
      <c r="AZ292">
        <v>29</v>
      </c>
      <c r="BA292">
        <v>22</v>
      </c>
      <c r="BB292">
        <v>10</v>
      </c>
      <c r="BC292">
        <v>49</v>
      </c>
      <c r="BD292">
        <v>22</v>
      </c>
      <c r="BE292">
        <v>9</v>
      </c>
      <c r="BF292">
        <v>188698</v>
      </c>
      <c r="BG292">
        <v>7295</v>
      </c>
    </row>
    <row r="293" spans="1:59" x14ac:dyDescent="0.3">
      <c r="A293" s="3">
        <v>45583</v>
      </c>
      <c r="B293" t="s">
        <v>69</v>
      </c>
      <c r="C293">
        <v>10</v>
      </c>
      <c r="D293">
        <v>1028</v>
      </c>
      <c r="E293">
        <v>799</v>
      </c>
      <c r="F293">
        <v>29</v>
      </c>
      <c r="G293">
        <v>2</v>
      </c>
      <c r="H293">
        <v>23</v>
      </c>
      <c r="I293">
        <v>46</v>
      </c>
      <c r="J293">
        <v>7</v>
      </c>
      <c r="K293">
        <v>10</v>
      </c>
      <c r="L293">
        <v>15</v>
      </c>
      <c r="M293">
        <v>35</v>
      </c>
      <c r="N293">
        <v>43</v>
      </c>
      <c r="O293">
        <v>3</v>
      </c>
      <c r="P293">
        <v>27</v>
      </c>
      <c r="Q293">
        <v>14</v>
      </c>
      <c r="R293">
        <v>26</v>
      </c>
      <c r="S293">
        <v>36</v>
      </c>
      <c r="T293">
        <v>18</v>
      </c>
      <c r="U293">
        <v>20</v>
      </c>
      <c r="V293">
        <v>19</v>
      </c>
      <c r="W293">
        <v>15</v>
      </c>
      <c r="X293">
        <v>16</v>
      </c>
      <c r="Y293">
        <v>25</v>
      </c>
      <c r="Z293">
        <v>37</v>
      </c>
      <c r="AA293">
        <v>28</v>
      </c>
      <c r="AB293">
        <v>45</v>
      </c>
      <c r="AC293">
        <v>2</v>
      </c>
      <c r="AD293">
        <v>24</v>
      </c>
      <c r="AE293">
        <v>19</v>
      </c>
      <c r="AF293">
        <v>28</v>
      </c>
      <c r="AG293">
        <v>1</v>
      </c>
      <c r="AH293">
        <v>27</v>
      </c>
      <c r="AI293">
        <v>16</v>
      </c>
      <c r="AJ293">
        <v>7</v>
      </c>
      <c r="AK293">
        <v>7</v>
      </c>
      <c r="AL293">
        <v>36</v>
      </c>
      <c r="AM293">
        <v>47</v>
      </c>
      <c r="AN293">
        <v>35</v>
      </c>
      <c r="AO293">
        <v>27</v>
      </c>
      <c r="AP293">
        <v>26</v>
      </c>
      <c r="AQ293">
        <v>25</v>
      </c>
      <c r="AR293">
        <v>2</v>
      </c>
      <c r="AS293">
        <v>35</v>
      </c>
      <c r="AT293">
        <v>9</v>
      </c>
      <c r="AU293">
        <v>32</v>
      </c>
      <c r="AV293">
        <v>4</v>
      </c>
      <c r="AW293">
        <v>12</v>
      </c>
      <c r="AX293">
        <v>13</v>
      </c>
      <c r="AY293">
        <v>5</v>
      </c>
      <c r="AZ293">
        <v>45</v>
      </c>
      <c r="BA293">
        <v>13</v>
      </c>
      <c r="BB293">
        <v>7</v>
      </c>
      <c r="BC293">
        <v>38</v>
      </c>
      <c r="BD293">
        <v>35</v>
      </c>
      <c r="BE293">
        <v>47</v>
      </c>
      <c r="BF293">
        <v>189249</v>
      </c>
      <c r="BG293">
        <v>7307</v>
      </c>
    </row>
    <row r="294" spans="1:59" x14ac:dyDescent="0.3">
      <c r="A294" s="3">
        <v>45584</v>
      </c>
      <c r="B294" t="s">
        <v>69</v>
      </c>
      <c r="C294">
        <v>10</v>
      </c>
      <c r="D294">
        <v>1030</v>
      </c>
      <c r="E294">
        <v>800</v>
      </c>
      <c r="F294">
        <v>41</v>
      </c>
      <c r="G294">
        <v>48</v>
      </c>
      <c r="H294">
        <v>7</v>
      </c>
      <c r="I294">
        <v>31</v>
      </c>
      <c r="J294">
        <v>23</v>
      </c>
      <c r="K294">
        <v>2</v>
      </c>
      <c r="L294">
        <v>8</v>
      </c>
      <c r="M294">
        <v>38</v>
      </c>
      <c r="N294">
        <v>29</v>
      </c>
      <c r="O294">
        <v>33</v>
      </c>
      <c r="P294">
        <v>33</v>
      </c>
      <c r="Q294">
        <v>39</v>
      </c>
      <c r="R294">
        <v>3</v>
      </c>
      <c r="S294">
        <v>20</v>
      </c>
      <c r="T294">
        <v>20</v>
      </c>
      <c r="U294">
        <v>19</v>
      </c>
      <c r="V294">
        <v>2</v>
      </c>
      <c r="W294">
        <v>48</v>
      </c>
      <c r="X294">
        <v>13</v>
      </c>
      <c r="Y294">
        <v>44</v>
      </c>
      <c r="Z294">
        <v>20</v>
      </c>
      <c r="AA294">
        <v>22</v>
      </c>
      <c r="AB294">
        <v>42</v>
      </c>
      <c r="AC294">
        <v>8</v>
      </c>
      <c r="AD294">
        <v>45</v>
      </c>
      <c r="AE294">
        <v>3</v>
      </c>
      <c r="AF294">
        <v>46</v>
      </c>
      <c r="AG294">
        <v>38</v>
      </c>
      <c r="AH294">
        <v>31</v>
      </c>
      <c r="AI294">
        <v>13</v>
      </c>
      <c r="AJ294">
        <v>12</v>
      </c>
      <c r="AK294">
        <v>46</v>
      </c>
      <c r="AL294">
        <v>8</v>
      </c>
      <c r="AM294">
        <v>47</v>
      </c>
      <c r="AN294">
        <v>16</v>
      </c>
      <c r="AO294">
        <v>16</v>
      </c>
      <c r="AP294">
        <v>47</v>
      </c>
      <c r="AQ294">
        <v>35</v>
      </c>
      <c r="AR294">
        <v>42</v>
      </c>
      <c r="AS294">
        <v>18</v>
      </c>
      <c r="AT294">
        <v>42</v>
      </c>
      <c r="AU294">
        <v>36</v>
      </c>
      <c r="AV294">
        <v>9</v>
      </c>
      <c r="AW294">
        <v>7</v>
      </c>
      <c r="AX294">
        <v>23</v>
      </c>
      <c r="AY294">
        <v>4</v>
      </c>
      <c r="AZ294">
        <v>5</v>
      </c>
      <c r="BA294">
        <v>40</v>
      </c>
      <c r="BB294">
        <v>48</v>
      </c>
      <c r="BC294">
        <v>42</v>
      </c>
      <c r="BD294">
        <v>13</v>
      </c>
      <c r="BE294">
        <v>7</v>
      </c>
      <c r="BF294">
        <v>189800</v>
      </c>
      <c r="BG294">
        <v>7320</v>
      </c>
    </row>
    <row r="295" spans="1:59" x14ac:dyDescent="0.3">
      <c r="A295" s="3">
        <v>45585</v>
      </c>
      <c r="B295" t="s">
        <v>69</v>
      </c>
      <c r="C295">
        <v>10</v>
      </c>
      <c r="D295">
        <v>1031</v>
      </c>
      <c r="E295">
        <v>800</v>
      </c>
      <c r="F295">
        <v>0</v>
      </c>
      <c r="G295">
        <v>26</v>
      </c>
      <c r="H295">
        <v>24</v>
      </c>
      <c r="I295">
        <v>11</v>
      </c>
      <c r="J295">
        <v>44</v>
      </c>
      <c r="K295">
        <v>19</v>
      </c>
      <c r="L295">
        <v>38</v>
      </c>
      <c r="M295">
        <v>49</v>
      </c>
      <c r="N295">
        <v>25</v>
      </c>
      <c r="O295">
        <v>5</v>
      </c>
      <c r="P295">
        <v>0</v>
      </c>
      <c r="Q295">
        <v>14</v>
      </c>
      <c r="R295">
        <v>39</v>
      </c>
      <c r="S295">
        <v>37</v>
      </c>
      <c r="T295">
        <v>34</v>
      </c>
      <c r="U295">
        <v>39</v>
      </c>
      <c r="V295">
        <v>0</v>
      </c>
      <c r="W295">
        <v>36</v>
      </c>
      <c r="X295">
        <v>16</v>
      </c>
      <c r="Y295">
        <v>49</v>
      </c>
      <c r="Z295">
        <v>4</v>
      </c>
      <c r="AA295">
        <v>28</v>
      </c>
      <c r="AB295">
        <v>13</v>
      </c>
      <c r="AC295">
        <v>0</v>
      </c>
      <c r="AD295">
        <v>35</v>
      </c>
      <c r="AE295">
        <v>3</v>
      </c>
      <c r="AF295">
        <v>28</v>
      </c>
      <c r="AG295">
        <v>21</v>
      </c>
      <c r="AH295">
        <v>12</v>
      </c>
      <c r="AI295">
        <v>3</v>
      </c>
      <c r="AJ295">
        <v>12</v>
      </c>
      <c r="AK295">
        <v>39</v>
      </c>
      <c r="AL295">
        <v>35</v>
      </c>
      <c r="AM295">
        <v>11</v>
      </c>
      <c r="AN295">
        <v>39</v>
      </c>
      <c r="AO295">
        <v>15</v>
      </c>
      <c r="AP295">
        <v>20</v>
      </c>
      <c r="AQ295">
        <v>13</v>
      </c>
      <c r="AR295">
        <v>20</v>
      </c>
      <c r="AS295">
        <v>25</v>
      </c>
      <c r="AT295">
        <v>44</v>
      </c>
      <c r="AU295">
        <v>40</v>
      </c>
      <c r="AV295">
        <v>28</v>
      </c>
      <c r="AW295">
        <v>27</v>
      </c>
      <c r="AX295">
        <v>0</v>
      </c>
      <c r="AY295">
        <v>18</v>
      </c>
      <c r="AZ295">
        <v>19</v>
      </c>
      <c r="BA295">
        <v>21</v>
      </c>
      <c r="BB295">
        <v>15</v>
      </c>
      <c r="BC295">
        <v>23</v>
      </c>
      <c r="BD295">
        <v>17</v>
      </c>
      <c r="BE295">
        <v>22</v>
      </c>
      <c r="BF295">
        <v>190350</v>
      </c>
      <c r="BG295">
        <v>7332</v>
      </c>
    </row>
    <row r="296" spans="1:59" x14ac:dyDescent="0.3">
      <c r="A296" s="3">
        <v>45586</v>
      </c>
      <c r="B296" t="s">
        <v>69</v>
      </c>
      <c r="C296">
        <v>10</v>
      </c>
      <c r="D296">
        <v>1033</v>
      </c>
      <c r="E296">
        <v>801</v>
      </c>
      <c r="F296">
        <v>34</v>
      </c>
      <c r="G296">
        <v>19</v>
      </c>
      <c r="H296">
        <v>49</v>
      </c>
      <c r="I296">
        <v>15</v>
      </c>
      <c r="J296">
        <v>39</v>
      </c>
      <c r="K296">
        <v>49</v>
      </c>
      <c r="L296">
        <v>14</v>
      </c>
      <c r="M296">
        <v>17</v>
      </c>
      <c r="N296">
        <v>42</v>
      </c>
      <c r="O296">
        <v>27</v>
      </c>
      <c r="P296">
        <v>19</v>
      </c>
      <c r="Q296">
        <v>4</v>
      </c>
      <c r="R296">
        <v>49</v>
      </c>
      <c r="S296">
        <v>33</v>
      </c>
      <c r="T296">
        <v>26</v>
      </c>
      <c r="U296">
        <v>36</v>
      </c>
      <c r="V296">
        <v>0</v>
      </c>
      <c r="W296">
        <v>39</v>
      </c>
      <c r="X296">
        <v>39</v>
      </c>
      <c r="Y296">
        <v>20</v>
      </c>
      <c r="Z296">
        <v>46</v>
      </c>
      <c r="AA296">
        <v>45</v>
      </c>
      <c r="AB296">
        <v>5</v>
      </c>
      <c r="AC296">
        <v>20</v>
      </c>
      <c r="AD296">
        <v>15</v>
      </c>
      <c r="AE296">
        <v>6</v>
      </c>
      <c r="AF296">
        <v>25</v>
      </c>
      <c r="AG296">
        <v>34</v>
      </c>
      <c r="AH296">
        <v>15</v>
      </c>
      <c r="AI296">
        <v>31</v>
      </c>
      <c r="AJ296">
        <v>8</v>
      </c>
      <c r="AK296">
        <v>5</v>
      </c>
      <c r="AL296">
        <v>39</v>
      </c>
      <c r="AM296">
        <v>39</v>
      </c>
      <c r="AN296">
        <v>23</v>
      </c>
      <c r="AO296">
        <v>36</v>
      </c>
      <c r="AP296">
        <v>15</v>
      </c>
      <c r="AQ296">
        <v>44</v>
      </c>
      <c r="AR296">
        <v>20</v>
      </c>
      <c r="AS296">
        <v>6</v>
      </c>
      <c r="AT296">
        <v>40</v>
      </c>
      <c r="AU296">
        <v>29</v>
      </c>
      <c r="AV296">
        <v>2</v>
      </c>
      <c r="AW296">
        <v>25</v>
      </c>
      <c r="AX296">
        <v>20</v>
      </c>
      <c r="AY296">
        <v>18</v>
      </c>
      <c r="AZ296">
        <v>18</v>
      </c>
      <c r="BA296">
        <v>16</v>
      </c>
      <c r="BB296">
        <v>35</v>
      </c>
      <c r="BC296">
        <v>47</v>
      </c>
      <c r="BD296">
        <v>20</v>
      </c>
      <c r="BE296">
        <v>17</v>
      </c>
      <c r="BF296">
        <v>190901</v>
      </c>
      <c r="BG296">
        <v>7344</v>
      </c>
    </row>
    <row r="297" spans="1:59" x14ac:dyDescent="0.3">
      <c r="A297" s="3">
        <v>45587</v>
      </c>
      <c r="B297" t="s">
        <v>69</v>
      </c>
      <c r="C297">
        <v>10</v>
      </c>
      <c r="D297">
        <v>1034</v>
      </c>
      <c r="E297">
        <v>802</v>
      </c>
      <c r="F297">
        <v>7</v>
      </c>
      <c r="G297">
        <v>34</v>
      </c>
      <c r="H297">
        <v>21</v>
      </c>
      <c r="I297">
        <v>41</v>
      </c>
      <c r="J297">
        <v>48</v>
      </c>
      <c r="K297">
        <v>43</v>
      </c>
      <c r="L297">
        <v>6</v>
      </c>
      <c r="M297">
        <v>12</v>
      </c>
      <c r="N297">
        <v>10</v>
      </c>
      <c r="O297">
        <v>46</v>
      </c>
      <c r="P297">
        <v>11</v>
      </c>
      <c r="Q297">
        <v>12</v>
      </c>
      <c r="R297">
        <v>30</v>
      </c>
      <c r="S297">
        <v>6</v>
      </c>
      <c r="T297">
        <v>15</v>
      </c>
      <c r="U297">
        <v>11</v>
      </c>
      <c r="V297">
        <v>0</v>
      </c>
      <c r="W297">
        <v>18</v>
      </c>
      <c r="X297">
        <v>6</v>
      </c>
      <c r="Y297">
        <v>2</v>
      </c>
      <c r="Z297">
        <v>17</v>
      </c>
      <c r="AA297">
        <v>46</v>
      </c>
      <c r="AB297">
        <v>19</v>
      </c>
      <c r="AC297">
        <v>12</v>
      </c>
      <c r="AD297">
        <v>38</v>
      </c>
      <c r="AE297">
        <v>41</v>
      </c>
      <c r="AF297">
        <v>1</v>
      </c>
      <c r="AG297">
        <v>0</v>
      </c>
      <c r="AH297">
        <v>17</v>
      </c>
      <c r="AI297">
        <v>15</v>
      </c>
      <c r="AJ297">
        <v>43</v>
      </c>
      <c r="AK297">
        <v>23</v>
      </c>
      <c r="AL297">
        <v>39</v>
      </c>
      <c r="AM297">
        <v>4</v>
      </c>
      <c r="AN297">
        <v>1</v>
      </c>
      <c r="AO297">
        <v>45</v>
      </c>
      <c r="AP297">
        <v>41</v>
      </c>
      <c r="AQ297">
        <v>26</v>
      </c>
      <c r="AR297">
        <v>42</v>
      </c>
      <c r="AS297">
        <v>6</v>
      </c>
      <c r="AT297">
        <v>43</v>
      </c>
      <c r="AU297">
        <v>18</v>
      </c>
      <c r="AV297">
        <v>16</v>
      </c>
      <c r="AW297">
        <v>9</v>
      </c>
      <c r="AX297">
        <v>2</v>
      </c>
      <c r="AY297">
        <v>26</v>
      </c>
      <c r="AZ297">
        <v>2</v>
      </c>
      <c r="BA297">
        <v>23</v>
      </c>
      <c r="BB297">
        <v>42</v>
      </c>
      <c r="BC297">
        <v>40</v>
      </c>
      <c r="BD297">
        <v>28</v>
      </c>
      <c r="BE297">
        <v>35</v>
      </c>
      <c r="BF297">
        <v>191452</v>
      </c>
      <c r="BG297">
        <v>7356</v>
      </c>
    </row>
    <row r="298" spans="1:59" x14ac:dyDescent="0.3">
      <c r="A298" s="3">
        <v>45588</v>
      </c>
      <c r="B298" t="s">
        <v>69</v>
      </c>
      <c r="C298">
        <v>10</v>
      </c>
      <c r="D298">
        <v>1036</v>
      </c>
      <c r="E298">
        <v>802</v>
      </c>
      <c r="F298">
        <v>45</v>
      </c>
      <c r="G298">
        <v>38</v>
      </c>
      <c r="H298">
        <v>49</v>
      </c>
      <c r="I298">
        <v>45</v>
      </c>
      <c r="J298">
        <v>26</v>
      </c>
      <c r="K298">
        <v>41</v>
      </c>
      <c r="L298">
        <v>30</v>
      </c>
      <c r="M298">
        <v>40</v>
      </c>
      <c r="N298">
        <v>41</v>
      </c>
      <c r="O298">
        <v>49</v>
      </c>
      <c r="P298">
        <v>27</v>
      </c>
      <c r="Q298">
        <v>21</v>
      </c>
      <c r="R298">
        <v>39</v>
      </c>
      <c r="S298">
        <v>22</v>
      </c>
      <c r="T298">
        <v>27</v>
      </c>
      <c r="U298">
        <v>13</v>
      </c>
      <c r="V298">
        <v>11</v>
      </c>
      <c r="W298">
        <v>42</v>
      </c>
      <c r="X298">
        <v>24</v>
      </c>
      <c r="Y298">
        <v>23</v>
      </c>
      <c r="Z298">
        <v>4</v>
      </c>
      <c r="AA298">
        <v>24</v>
      </c>
      <c r="AB298">
        <v>41</v>
      </c>
      <c r="AC298">
        <v>14</v>
      </c>
      <c r="AD298">
        <v>3</v>
      </c>
      <c r="AE298">
        <v>42</v>
      </c>
      <c r="AF298">
        <v>17</v>
      </c>
      <c r="AG298">
        <v>16</v>
      </c>
      <c r="AH298">
        <v>27</v>
      </c>
      <c r="AI298">
        <v>27</v>
      </c>
      <c r="AJ298">
        <v>26</v>
      </c>
      <c r="AK298">
        <v>21</v>
      </c>
      <c r="AL298">
        <v>23</v>
      </c>
      <c r="AM298">
        <v>0</v>
      </c>
      <c r="AN298">
        <v>39</v>
      </c>
      <c r="AO298">
        <v>12</v>
      </c>
      <c r="AP298">
        <v>6</v>
      </c>
      <c r="AQ298">
        <v>22</v>
      </c>
      <c r="AR298">
        <v>37</v>
      </c>
      <c r="AS298">
        <v>46</v>
      </c>
      <c r="AT298">
        <v>5</v>
      </c>
      <c r="AU298">
        <v>35</v>
      </c>
      <c r="AV298">
        <v>37</v>
      </c>
      <c r="AW298">
        <v>5</v>
      </c>
      <c r="AX298">
        <v>46</v>
      </c>
      <c r="AY298">
        <v>31</v>
      </c>
      <c r="AZ298">
        <v>15</v>
      </c>
      <c r="BA298">
        <v>6</v>
      </c>
      <c r="BB298">
        <v>7</v>
      </c>
      <c r="BC298">
        <v>45</v>
      </c>
      <c r="BD298">
        <v>16</v>
      </c>
      <c r="BE298">
        <v>45</v>
      </c>
      <c r="BF298">
        <v>192002</v>
      </c>
      <c r="BG298">
        <v>7368</v>
      </c>
    </row>
    <row r="299" spans="1:59" x14ac:dyDescent="0.3">
      <c r="A299" s="3">
        <v>45589</v>
      </c>
      <c r="B299" t="s">
        <v>69</v>
      </c>
      <c r="C299">
        <v>10</v>
      </c>
      <c r="D299">
        <v>1038</v>
      </c>
      <c r="E299">
        <v>803</v>
      </c>
      <c r="F299">
        <v>5</v>
      </c>
      <c r="G299">
        <v>3</v>
      </c>
      <c r="H299">
        <v>36</v>
      </c>
      <c r="I299">
        <v>7</v>
      </c>
      <c r="J299">
        <v>23</v>
      </c>
      <c r="K299">
        <v>16</v>
      </c>
      <c r="L299">
        <v>40</v>
      </c>
      <c r="M299">
        <v>34</v>
      </c>
      <c r="N299">
        <v>22</v>
      </c>
      <c r="O299">
        <v>48</v>
      </c>
      <c r="P299">
        <v>15</v>
      </c>
      <c r="Q299">
        <v>7</v>
      </c>
      <c r="R299">
        <v>8</v>
      </c>
      <c r="S299">
        <v>33</v>
      </c>
      <c r="T299">
        <v>17</v>
      </c>
      <c r="U299">
        <v>28</v>
      </c>
      <c r="V299">
        <v>12</v>
      </c>
      <c r="W299">
        <v>15</v>
      </c>
      <c r="X299">
        <v>14</v>
      </c>
      <c r="Y299">
        <v>32</v>
      </c>
      <c r="Z299">
        <v>47</v>
      </c>
      <c r="AA299">
        <v>37</v>
      </c>
      <c r="AB299">
        <v>34</v>
      </c>
      <c r="AC299">
        <v>27</v>
      </c>
      <c r="AD299">
        <v>26</v>
      </c>
      <c r="AE299">
        <v>6</v>
      </c>
      <c r="AF299">
        <v>29</v>
      </c>
      <c r="AG299">
        <v>46</v>
      </c>
      <c r="AH299">
        <v>33</v>
      </c>
      <c r="AI299">
        <v>20</v>
      </c>
      <c r="AJ299">
        <v>26</v>
      </c>
      <c r="AK299">
        <v>48</v>
      </c>
      <c r="AL299">
        <v>32</v>
      </c>
      <c r="AM299">
        <v>47</v>
      </c>
      <c r="AN299">
        <v>46</v>
      </c>
      <c r="AO299">
        <v>9</v>
      </c>
      <c r="AP299">
        <v>29</v>
      </c>
      <c r="AQ299">
        <v>2</v>
      </c>
      <c r="AR299">
        <v>43</v>
      </c>
      <c r="AS299">
        <v>0</v>
      </c>
      <c r="AT299">
        <v>3</v>
      </c>
      <c r="AU299">
        <v>47</v>
      </c>
      <c r="AV299">
        <v>4</v>
      </c>
      <c r="AW299">
        <v>30</v>
      </c>
      <c r="AX299">
        <v>30</v>
      </c>
      <c r="AY299">
        <v>22</v>
      </c>
      <c r="AZ299">
        <v>39</v>
      </c>
      <c r="BA299">
        <v>41</v>
      </c>
      <c r="BB299">
        <v>35</v>
      </c>
      <c r="BC299">
        <v>21</v>
      </c>
      <c r="BD299">
        <v>18</v>
      </c>
      <c r="BE299">
        <v>21</v>
      </c>
      <c r="BF299">
        <v>192553</v>
      </c>
      <c r="BG299">
        <v>7380</v>
      </c>
    </row>
    <row r="300" spans="1:59" x14ac:dyDescent="0.3">
      <c r="A300" s="3">
        <v>45590</v>
      </c>
      <c r="B300" t="s">
        <v>69</v>
      </c>
      <c r="C300">
        <v>10</v>
      </c>
      <c r="D300">
        <v>1039</v>
      </c>
      <c r="E300">
        <v>804</v>
      </c>
      <c r="F300">
        <v>20</v>
      </c>
      <c r="G300">
        <v>27</v>
      </c>
      <c r="H300">
        <v>38</v>
      </c>
      <c r="I300">
        <v>48</v>
      </c>
      <c r="J300">
        <v>16</v>
      </c>
      <c r="K300">
        <v>30</v>
      </c>
      <c r="L300">
        <v>43</v>
      </c>
      <c r="M300">
        <v>6</v>
      </c>
      <c r="N300">
        <v>44</v>
      </c>
      <c r="O300">
        <v>44</v>
      </c>
      <c r="P300">
        <v>12</v>
      </c>
      <c r="Q300">
        <v>41</v>
      </c>
      <c r="R300">
        <v>42</v>
      </c>
      <c r="S300">
        <v>47</v>
      </c>
      <c r="T300">
        <v>27</v>
      </c>
      <c r="U300">
        <v>16</v>
      </c>
      <c r="V300">
        <v>49</v>
      </c>
      <c r="W300">
        <v>33</v>
      </c>
      <c r="X300">
        <v>10</v>
      </c>
      <c r="Y300">
        <v>32</v>
      </c>
      <c r="Z300">
        <v>21</v>
      </c>
      <c r="AA300">
        <v>8</v>
      </c>
      <c r="AB300">
        <v>27</v>
      </c>
      <c r="AC300">
        <v>8</v>
      </c>
      <c r="AD300">
        <v>10</v>
      </c>
      <c r="AE300">
        <v>9</v>
      </c>
      <c r="AF300">
        <v>37</v>
      </c>
      <c r="AG300">
        <v>29</v>
      </c>
      <c r="AH300">
        <v>41</v>
      </c>
      <c r="AI300">
        <v>38</v>
      </c>
      <c r="AJ300">
        <v>14</v>
      </c>
      <c r="AK300">
        <v>33</v>
      </c>
      <c r="AL300">
        <v>5</v>
      </c>
      <c r="AM300">
        <v>30</v>
      </c>
      <c r="AN300">
        <v>40</v>
      </c>
      <c r="AO300">
        <v>6</v>
      </c>
      <c r="AP300">
        <v>46</v>
      </c>
      <c r="AQ300">
        <v>13</v>
      </c>
      <c r="AR300">
        <v>28</v>
      </c>
      <c r="AS300">
        <v>3</v>
      </c>
      <c r="AT300">
        <v>27</v>
      </c>
      <c r="AU300">
        <v>12</v>
      </c>
      <c r="AV300">
        <v>16</v>
      </c>
      <c r="AW300">
        <v>45</v>
      </c>
      <c r="AX300">
        <v>20</v>
      </c>
      <c r="AY300">
        <v>28</v>
      </c>
      <c r="AZ300">
        <v>9</v>
      </c>
      <c r="BA300">
        <v>14</v>
      </c>
      <c r="BB300">
        <v>33</v>
      </c>
      <c r="BC300">
        <v>32</v>
      </c>
      <c r="BD300">
        <v>38</v>
      </c>
      <c r="BE300">
        <v>42</v>
      </c>
      <c r="BF300">
        <v>193104</v>
      </c>
      <c r="BG300">
        <v>7392</v>
      </c>
    </row>
    <row r="301" spans="1:59" x14ac:dyDescent="0.3">
      <c r="A301" s="3">
        <v>45591</v>
      </c>
      <c r="B301" t="s">
        <v>69</v>
      </c>
      <c r="C301">
        <v>10</v>
      </c>
      <c r="D301">
        <v>1041</v>
      </c>
      <c r="E301">
        <v>804</v>
      </c>
      <c r="F301">
        <v>43</v>
      </c>
      <c r="G301">
        <v>15</v>
      </c>
      <c r="H301">
        <v>17</v>
      </c>
      <c r="I301">
        <v>32</v>
      </c>
      <c r="J301">
        <v>44</v>
      </c>
      <c r="K301">
        <v>41</v>
      </c>
      <c r="L301">
        <v>23</v>
      </c>
      <c r="M301">
        <v>15</v>
      </c>
      <c r="N301">
        <v>36</v>
      </c>
      <c r="O301">
        <v>33</v>
      </c>
      <c r="P301">
        <v>23</v>
      </c>
      <c r="Q301">
        <v>14</v>
      </c>
      <c r="R301">
        <v>47</v>
      </c>
      <c r="S301">
        <v>42</v>
      </c>
      <c r="T301">
        <v>1</v>
      </c>
      <c r="U301">
        <v>12</v>
      </c>
      <c r="V301">
        <v>35</v>
      </c>
      <c r="W301">
        <v>25</v>
      </c>
      <c r="X301">
        <v>36</v>
      </c>
      <c r="Y301">
        <v>3</v>
      </c>
      <c r="Z301">
        <v>27</v>
      </c>
      <c r="AA301">
        <v>17</v>
      </c>
      <c r="AB301">
        <v>31</v>
      </c>
      <c r="AC301">
        <v>25</v>
      </c>
      <c r="AD301">
        <v>24</v>
      </c>
      <c r="AE301">
        <v>14</v>
      </c>
      <c r="AF301">
        <v>24</v>
      </c>
      <c r="AG301">
        <v>34</v>
      </c>
      <c r="AH301">
        <v>24</v>
      </c>
      <c r="AI301">
        <v>2</v>
      </c>
      <c r="AJ301">
        <v>48</v>
      </c>
      <c r="AK301">
        <v>31</v>
      </c>
      <c r="AL301">
        <v>23</v>
      </c>
      <c r="AM301">
        <v>19</v>
      </c>
      <c r="AN301">
        <v>11</v>
      </c>
      <c r="AO301">
        <v>18</v>
      </c>
      <c r="AP301">
        <v>7</v>
      </c>
      <c r="AQ301">
        <v>1</v>
      </c>
      <c r="AR301">
        <v>32</v>
      </c>
      <c r="AS301">
        <v>17</v>
      </c>
      <c r="AT301">
        <v>38</v>
      </c>
      <c r="AU301">
        <v>44</v>
      </c>
      <c r="AV301">
        <v>16</v>
      </c>
      <c r="AW301">
        <v>49</v>
      </c>
      <c r="AX301">
        <v>23</v>
      </c>
      <c r="AY301">
        <v>12</v>
      </c>
      <c r="AZ301">
        <v>31</v>
      </c>
      <c r="BA301">
        <v>17</v>
      </c>
      <c r="BB301">
        <v>27</v>
      </c>
      <c r="BC301">
        <v>43</v>
      </c>
      <c r="BD301">
        <v>49</v>
      </c>
      <c r="BE301">
        <v>24</v>
      </c>
      <c r="BF301">
        <v>193654</v>
      </c>
      <c r="BG301">
        <v>7404</v>
      </c>
    </row>
    <row r="302" spans="1:59" x14ac:dyDescent="0.3">
      <c r="A302" s="3">
        <v>45592</v>
      </c>
      <c r="B302" t="s">
        <v>69</v>
      </c>
      <c r="C302">
        <v>10</v>
      </c>
      <c r="D302">
        <v>1043</v>
      </c>
      <c r="E302">
        <v>805</v>
      </c>
      <c r="F302">
        <v>18</v>
      </c>
      <c r="G302">
        <v>46</v>
      </c>
      <c r="H302">
        <v>2</v>
      </c>
      <c r="I302">
        <v>33</v>
      </c>
      <c r="J302">
        <v>37</v>
      </c>
      <c r="K302">
        <v>1</v>
      </c>
      <c r="L302">
        <v>1</v>
      </c>
      <c r="M302">
        <v>38</v>
      </c>
      <c r="N302">
        <v>12</v>
      </c>
      <c r="O302">
        <v>9</v>
      </c>
      <c r="P302">
        <v>29</v>
      </c>
      <c r="Q302">
        <v>6</v>
      </c>
      <c r="R302">
        <v>33</v>
      </c>
      <c r="S302">
        <v>36</v>
      </c>
      <c r="T302">
        <v>11</v>
      </c>
      <c r="U302">
        <v>6</v>
      </c>
      <c r="V302">
        <v>43</v>
      </c>
      <c r="W302">
        <v>11</v>
      </c>
      <c r="X302">
        <v>36</v>
      </c>
      <c r="Y302">
        <v>11</v>
      </c>
      <c r="Z302">
        <v>36</v>
      </c>
      <c r="AA302">
        <v>41</v>
      </c>
      <c r="AB302">
        <v>14</v>
      </c>
      <c r="AC302">
        <v>6</v>
      </c>
      <c r="AD302">
        <v>39</v>
      </c>
      <c r="AE302">
        <v>36</v>
      </c>
      <c r="AF302">
        <v>48</v>
      </c>
      <c r="AG302">
        <v>1</v>
      </c>
      <c r="AH302">
        <v>14</v>
      </c>
      <c r="AI302">
        <v>1</v>
      </c>
      <c r="AJ302">
        <v>15</v>
      </c>
      <c r="AK302">
        <v>45</v>
      </c>
      <c r="AL302">
        <v>14</v>
      </c>
      <c r="AM302">
        <v>47</v>
      </c>
      <c r="AN302">
        <v>43</v>
      </c>
      <c r="AO302">
        <v>21</v>
      </c>
      <c r="AP302">
        <v>48</v>
      </c>
      <c r="AQ302">
        <v>15</v>
      </c>
      <c r="AR302">
        <v>6</v>
      </c>
      <c r="AS302">
        <v>6</v>
      </c>
      <c r="AT302">
        <v>23</v>
      </c>
      <c r="AU302">
        <v>9</v>
      </c>
      <c r="AV302">
        <v>24</v>
      </c>
      <c r="AW302">
        <v>32</v>
      </c>
      <c r="AX302">
        <v>32</v>
      </c>
      <c r="AY302">
        <v>41</v>
      </c>
      <c r="AZ302">
        <v>48</v>
      </c>
      <c r="BA302">
        <v>15</v>
      </c>
      <c r="BB302">
        <v>34</v>
      </c>
      <c r="BC302">
        <v>26</v>
      </c>
      <c r="BD302">
        <v>10</v>
      </c>
      <c r="BE302">
        <v>27</v>
      </c>
      <c r="BF302">
        <v>194205</v>
      </c>
      <c r="BG302">
        <v>7416</v>
      </c>
    </row>
    <row r="303" spans="1:59" x14ac:dyDescent="0.3">
      <c r="A303" s="3">
        <v>45593</v>
      </c>
      <c r="B303" t="s">
        <v>69</v>
      </c>
      <c r="C303">
        <v>10</v>
      </c>
      <c r="D303">
        <v>1044</v>
      </c>
      <c r="E303">
        <v>806</v>
      </c>
      <c r="F303">
        <v>16</v>
      </c>
      <c r="G303">
        <v>3</v>
      </c>
      <c r="H303">
        <v>5</v>
      </c>
      <c r="I303">
        <v>28</v>
      </c>
      <c r="J303">
        <v>8</v>
      </c>
      <c r="K303">
        <v>24</v>
      </c>
      <c r="L303">
        <v>11</v>
      </c>
      <c r="M303">
        <v>25</v>
      </c>
      <c r="N303">
        <v>27</v>
      </c>
      <c r="O303">
        <v>17</v>
      </c>
      <c r="P303">
        <v>48</v>
      </c>
      <c r="Q303">
        <v>46</v>
      </c>
      <c r="R303">
        <v>36</v>
      </c>
      <c r="S303">
        <v>6</v>
      </c>
      <c r="T303">
        <v>8</v>
      </c>
      <c r="U303">
        <v>15</v>
      </c>
      <c r="V303">
        <v>13</v>
      </c>
      <c r="W303">
        <v>48</v>
      </c>
      <c r="X303">
        <v>17</v>
      </c>
      <c r="Y303">
        <v>36</v>
      </c>
      <c r="Z303">
        <v>16</v>
      </c>
      <c r="AA303">
        <v>45</v>
      </c>
      <c r="AB303">
        <v>26</v>
      </c>
      <c r="AC303">
        <v>10</v>
      </c>
      <c r="AD303">
        <v>41</v>
      </c>
      <c r="AE303">
        <v>33</v>
      </c>
      <c r="AF303">
        <v>49</v>
      </c>
      <c r="AG303">
        <v>26</v>
      </c>
      <c r="AH303">
        <v>8</v>
      </c>
      <c r="AI303">
        <v>45</v>
      </c>
      <c r="AJ303">
        <v>6</v>
      </c>
      <c r="AK303">
        <v>41</v>
      </c>
      <c r="AL303">
        <v>9</v>
      </c>
      <c r="AM303">
        <v>31</v>
      </c>
      <c r="AN303">
        <v>12</v>
      </c>
      <c r="AO303">
        <v>44</v>
      </c>
      <c r="AP303">
        <v>5</v>
      </c>
      <c r="AQ303">
        <v>24</v>
      </c>
      <c r="AR303">
        <v>2</v>
      </c>
      <c r="AS303">
        <v>37</v>
      </c>
      <c r="AT303">
        <v>35</v>
      </c>
      <c r="AU303">
        <v>44</v>
      </c>
      <c r="AV303">
        <v>18</v>
      </c>
      <c r="AW303">
        <v>2</v>
      </c>
      <c r="AX303">
        <v>42</v>
      </c>
      <c r="AY303">
        <v>11</v>
      </c>
      <c r="AZ303">
        <v>45</v>
      </c>
      <c r="BA303">
        <v>30</v>
      </c>
      <c r="BB303">
        <v>8</v>
      </c>
      <c r="BC303">
        <v>8</v>
      </c>
      <c r="BD303">
        <v>48</v>
      </c>
      <c r="BE303">
        <v>32</v>
      </c>
      <c r="BF303">
        <v>194756</v>
      </c>
      <c r="BG303">
        <v>7428</v>
      </c>
    </row>
    <row r="304" spans="1:59" x14ac:dyDescent="0.3">
      <c r="A304" s="3">
        <v>45594</v>
      </c>
      <c r="B304" t="s">
        <v>69</v>
      </c>
      <c r="C304">
        <v>10</v>
      </c>
      <c r="D304">
        <v>1046</v>
      </c>
      <c r="E304">
        <v>806</v>
      </c>
      <c r="F304">
        <v>48</v>
      </c>
      <c r="G304">
        <v>2</v>
      </c>
      <c r="H304">
        <v>3</v>
      </c>
      <c r="I304">
        <v>39</v>
      </c>
      <c r="J304">
        <v>39</v>
      </c>
      <c r="K304">
        <v>20</v>
      </c>
      <c r="L304">
        <v>8</v>
      </c>
      <c r="M304">
        <v>49</v>
      </c>
      <c r="N304">
        <v>45</v>
      </c>
      <c r="O304">
        <v>34</v>
      </c>
      <c r="P304">
        <v>34</v>
      </c>
      <c r="Q304">
        <v>6</v>
      </c>
      <c r="R304">
        <v>22</v>
      </c>
      <c r="S304">
        <v>28</v>
      </c>
      <c r="T304">
        <v>14</v>
      </c>
      <c r="U304">
        <v>41</v>
      </c>
      <c r="V304">
        <v>5</v>
      </c>
      <c r="W304">
        <v>24</v>
      </c>
      <c r="X304">
        <v>11</v>
      </c>
      <c r="Y304">
        <v>13</v>
      </c>
      <c r="Z304">
        <v>35</v>
      </c>
      <c r="AA304">
        <v>6</v>
      </c>
      <c r="AB304">
        <v>33</v>
      </c>
      <c r="AC304">
        <v>23</v>
      </c>
      <c r="AD304">
        <v>32</v>
      </c>
      <c r="AE304">
        <v>45</v>
      </c>
      <c r="AF304">
        <v>20</v>
      </c>
      <c r="AG304">
        <v>38</v>
      </c>
      <c r="AH304">
        <v>39</v>
      </c>
      <c r="AI304">
        <v>22</v>
      </c>
      <c r="AJ304">
        <v>31</v>
      </c>
      <c r="AK304">
        <v>2</v>
      </c>
      <c r="AL304">
        <v>4</v>
      </c>
      <c r="AM304">
        <v>30</v>
      </c>
      <c r="AN304">
        <v>8</v>
      </c>
      <c r="AO304">
        <v>41</v>
      </c>
      <c r="AP304">
        <v>42</v>
      </c>
      <c r="AQ304">
        <v>4</v>
      </c>
      <c r="AR304">
        <v>32</v>
      </c>
      <c r="AS304">
        <v>33</v>
      </c>
      <c r="AT304">
        <v>30</v>
      </c>
      <c r="AU304">
        <v>22</v>
      </c>
      <c r="AV304">
        <v>19</v>
      </c>
      <c r="AW304">
        <v>49</v>
      </c>
      <c r="AX304">
        <v>2</v>
      </c>
      <c r="AY304">
        <v>27</v>
      </c>
      <c r="AZ304">
        <v>19</v>
      </c>
      <c r="BA304">
        <v>35</v>
      </c>
      <c r="BB304">
        <v>11</v>
      </c>
      <c r="BC304">
        <v>49</v>
      </c>
      <c r="BD304">
        <v>7</v>
      </c>
      <c r="BE304">
        <v>40</v>
      </c>
      <c r="BF304">
        <v>195306</v>
      </c>
      <c r="BG304">
        <v>7440</v>
      </c>
    </row>
    <row r="305" spans="1:59" x14ac:dyDescent="0.3">
      <c r="A305" s="3">
        <v>45595</v>
      </c>
      <c r="B305" t="s">
        <v>69</v>
      </c>
      <c r="C305">
        <v>10</v>
      </c>
      <c r="D305">
        <v>1048</v>
      </c>
      <c r="E305">
        <v>807</v>
      </c>
      <c r="F305">
        <v>13</v>
      </c>
      <c r="G305">
        <v>3</v>
      </c>
      <c r="H305">
        <v>41</v>
      </c>
      <c r="I305">
        <v>19</v>
      </c>
      <c r="J305">
        <v>37</v>
      </c>
      <c r="K305">
        <v>23</v>
      </c>
      <c r="L305">
        <v>36</v>
      </c>
      <c r="M305">
        <v>37</v>
      </c>
      <c r="N305">
        <v>23</v>
      </c>
      <c r="O305">
        <v>18</v>
      </c>
      <c r="P305">
        <v>29</v>
      </c>
      <c r="Q305">
        <v>42</v>
      </c>
      <c r="R305">
        <v>27</v>
      </c>
      <c r="S305">
        <v>10</v>
      </c>
      <c r="T305">
        <v>35</v>
      </c>
      <c r="U305">
        <v>21</v>
      </c>
      <c r="V305">
        <v>30</v>
      </c>
      <c r="W305">
        <v>22</v>
      </c>
      <c r="X305">
        <v>16</v>
      </c>
      <c r="Y305">
        <v>41</v>
      </c>
      <c r="Z305">
        <v>16</v>
      </c>
      <c r="AA305">
        <v>4</v>
      </c>
      <c r="AB305">
        <v>27</v>
      </c>
      <c r="AC305">
        <v>38</v>
      </c>
      <c r="AD305">
        <v>9</v>
      </c>
      <c r="AE305">
        <v>25</v>
      </c>
      <c r="AF305">
        <v>22</v>
      </c>
      <c r="AG305">
        <v>44</v>
      </c>
      <c r="AH305">
        <v>1</v>
      </c>
      <c r="AI305">
        <v>49</v>
      </c>
      <c r="AJ305">
        <v>35</v>
      </c>
      <c r="AK305">
        <v>49</v>
      </c>
      <c r="AL305">
        <v>8</v>
      </c>
      <c r="AM305">
        <v>24</v>
      </c>
      <c r="AN305">
        <v>45</v>
      </c>
      <c r="AO305">
        <v>43</v>
      </c>
      <c r="AP305">
        <v>9</v>
      </c>
      <c r="AQ305">
        <v>2</v>
      </c>
      <c r="AR305">
        <v>48</v>
      </c>
      <c r="AS305">
        <v>20</v>
      </c>
      <c r="AT305">
        <v>28</v>
      </c>
      <c r="AU305">
        <v>47</v>
      </c>
      <c r="AV305">
        <v>17</v>
      </c>
      <c r="AW305">
        <v>5</v>
      </c>
      <c r="AX305">
        <v>40</v>
      </c>
      <c r="AY305">
        <v>41</v>
      </c>
      <c r="AZ305">
        <v>7</v>
      </c>
      <c r="BA305">
        <v>42</v>
      </c>
      <c r="BB305">
        <v>47</v>
      </c>
      <c r="BC305">
        <v>17</v>
      </c>
      <c r="BD305">
        <v>46</v>
      </c>
      <c r="BE305">
        <v>35</v>
      </c>
      <c r="BF305">
        <v>195857</v>
      </c>
      <c r="BG305">
        <v>7452</v>
      </c>
    </row>
    <row r="306" spans="1:59" x14ac:dyDescent="0.3">
      <c r="A306" s="3">
        <v>45596</v>
      </c>
      <c r="B306" t="s">
        <v>69</v>
      </c>
      <c r="C306">
        <v>10</v>
      </c>
      <c r="D306">
        <v>1049</v>
      </c>
      <c r="E306">
        <v>808</v>
      </c>
      <c r="F306">
        <v>28</v>
      </c>
      <c r="G306">
        <v>30</v>
      </c>
      <c r="H306">
        <v>13</v>
      </c>
      <c r="I306">
        <v>3</v>
      </c>
      <c r="J306">
        <v>43</v>
      </c>
      <c r="K306">
        <v>2</v>
      </c>
      <c r="L306">
        <v>7</v>
      </c>
      <c r="M306">
        <v>41</v>
      </c>
      <c r="N306">
        <v>46</v>
      </c>
      <c r="O306">
        <v>32</v>
      </c>
      <c r="P306">
        <v>33</v>
      </c>
      <c r="Q306">
        <v>27</v>
      </c>
      <c r="R306">
        <v>2</v>
      </c>
      <c r="S306">
        <v>4</v>
      </c>
      <c r="T306">
        <v>25</v>
      </c>
      <c r="U306">
        <v>23</v>
      </c>
      <c r="V306">
        <v>49</v>
      </c>
      <c r="W306">
        <v>40</v>
      </c>
      <c r="X306">
        <v>33</v>
      </c>
      <c r="Y306">
        <v>29</v>
      </c>
      <c r="Z306">
        <v>18</v>
      </c>
      <c r="AA306">
        <v>10</v>
      </c>
      <c r="AB306">
        <v>3</v>
      </c>
      <c r="AC306">
        <v>41</v>
      </c>
      <c r="AD306">
        <v>46</v>
      </c>
      <c r="AE306">
        <v>3</v>
      </c>
      <c r="AF306">
        <v>32</v>
      </c>
      <c r="AG306">
        <v>36</v>
      </c>
      <c r="AH306">
        <v>33</v>
      </c>
      <c r="AI306">
        <v>46</v>
      </c>
      <c r="AJ306">
        <v>30</v>
      </c>
      <c r="AK306">
        <v>41</v>
      </c>
      <c r="AL306">
        <v>13</v>
      </c>
      <c r="AM306">
        <v>48</v>
      </c>
      <c r="AN306">
        <v>28</v>
      </c>
      <c r="AO306">
        <v>30</v>
      </c>
      <c r="AP306">
        <v>3</v>
      </c>
      <c r="AQ306">
        <v>23</v>
      </c>
      <c r="AR306">
        <v>32</v>
      </c>
      <c r="AS306">
        <v>15</v>
      </c>
      <c r="AT306">
        <v>3</v>
      </c>
      <c r="AU306">
        <v>20</v>
      </c>
      <c r="AV306">
        <v>31</v>
      </c>
      <c r="AW306">
        <v>23</v>
      </c>
      <c r="AX306">
        <v>29</v>
      </c>
      <c r="AY306">
        <v>27</v>
      </c>
      <c r="AZ306">
        <v>20</v>
      </c>
      <c r="BA306">
        <v>31</v>
      </c>
      <c r="BB306">
        <v>33</v>
      </c>
      <c r="BC306">
        <v>6</v>
      </c>
      <c r="BD306">
        <v>33</v>
      </c>
      <c r="BE306">
        <v>23</v>
      </c>
      <c r="BF306">
        <v>196408</v>
      </c>
      <c r="BG306">
        <v>7464</v>
      </c>
    </row>
    <row r="307" spans="1:59" x14ac:dyDescent="0.3">
      <c r="A307" s="3">
        <v>45597</v>
      </c>
      <c r="B307" t="s">
        <v>70</v>
      </c>
      <c r="C307">
        <v>11</v>
      </c>
      <c r="D307">
        <v>1051</v>
      </c>
      <c r="E307">
        <v>808</v>
      </c>
      <c r="F307">
        <v>15</v>
      </c>
      <c r="G307">
        <v>0</v>
      </c>
      <c r="H307">
        <v>12</v>
      </c>
      <c r="I307">
        <v>28</v>
      </c>
      <c r="J307">
        <v>43</v>
      </c>
      <c r="K307">
        <v>18</v>
      </c>
      <c r="L307">
        <v>39</v>
      </c>
      <c r="M307">
        <v>39</v>
      </c>
      <c r="N307">
        <v>15</v>
      </c>
      <c r="O307">
        <v>19</v>
      </c>
      <c r="P307">
        <v>30</v>
      </c>
      <c r="Q307">
        <v>47</v>
      </c>
      <c r="R307">
        <v>7</v>
      </c>
      <c r="S307">
        <v>7</v>
      </c>
      <c r="T307">
        <v>2</v>
      </c>
      <c r="U307">
        <v>49</v>
      </c>
      <c r="V307">
        <v>31</v>
      </c>
      <c r="W307">
        <v>5</v>
      </c>
      <c r="X307">
        <v>34</v>
      </c>
      <c r="Y307">
        <v>12</v>
      </c>
      <c r="Z307">
        <v>37</v>
      </c>
      <c r="AA307">
        <v>35</v>
      </c>
      <c r="AB307">
        <v>37</v>
      </c>
      <c r="AC307">
        <v>29</v>
      </c>
      <c r="AD307">
        <v>20</v>
      </c>
      <c r="AE307">
        <v>35</v>
      </c>
      <c r="AF307">
        <v>8</v>
      </c>
      <c r="AG307">
        <v>31</v>
      </c>
      <c r="AH307">
        <v>35</v>
      </c>
      <c r="AI307">
        <v>7</v>
      </c>
      <c r="AJ307">
        <v>9</v>
      </c>
      <c r="AK307">
        <v>41</v>
      </c>
      <c r="AL307">
        <v>12</v>
      </c>
      <c r="AM307">
        <v>39</v>
      </c>
      <c r="AN307">
        <v>22</v>
      </c>
      <c r="AO307">
        <v>0</v>
      </c>
      <c r="AP307">
        <v>47</v>
      </c>
      <c r="AQ307">
        <v>41</v>
      </c>
      <c r="AR307">
        <v>21</v>
      </c>
      <c r="AS307">
        <v>12</v>
      </c>
      <c r="AT307">
        <v>9</v>
      </c>
      <c r="AU307">
        <v>42</v>
      </c>
      <c r="AV307">
        <v>14</v>
      </c>
      <c r="AW307">
        <v>19</v>
      </c>
      <c r="AX307">
        <v>39</v>
      </c>
      <c r="AY307">
        <v>48</v>
      </c>
      <c r="AZ307">
        <v>11</v>
      </c>
      <c r="BA307">
        <v>45</v>
      </c>
      <c r="BB307">
        <v>42</v>
      </c>
      <c r="BC307">
        <v>40</v>
      </c>
      <c r="BD307">
        <v>46</v>
      </c>
      <c r="BE307">
        <v>39</v>
      </c>
      <c r="BF307">
        <v>196958</v>
      </c>
      <c r="BG307">
        <v>7476</v>
      </c>
    </row>
    <row r="308" spans="1:59" x14ac:dyDescent="0.3">
      <c r="A308" s="3">
        <v>45598</v>
      </c>
      <c r="B308" t="s">
        <v>70</v>
      </c>
      <c r="C308">
        <v>11</v>
      </c>
      <c r="D308">
        <v>1053</v>
      </c>
      <c r="E308">
        <v>809</v>
      </c>
      <c r="F308">
        <v>26</v>
      </c>
      <c r="G308">
        <v>45</v>
      </c>
      <c r="H308">
        <v>18</v>
      </c>
      <c r="I308">
        <v>46</v>
      </c>
      <c r="J308">
        <v>16</v>
      </c>
      <c r="K308">
        <v>28</v>
      </c>
      <c r="L308">
        <v>49</v>
      </c>
      <c r="M308">
        <v>28</v>
      </c>
      <c r="N308">
        <v>44</v>
      </c>
      <c r="O308">
        <v>4</v>
      </c>
      <c r="P308">
        <v>29</v>
      </c>
      <c r="Q308">
        <v>11</v>
      </c>
      <c r="R308">
        <v>9</v>
      </c>
      <c r="S308">
        <v>16</v>
      </c>
      <c r="T308">
        <v>22</v>
      </c>
      <c r="U308">
        <v>49</v>
      </c>
      <c r="V308">
        <v>8</v>
      </c>
      <c r="W308">
        <v>43</v>
      </c>
      <c r="X308">
        <v>7</v>
      </c>
      <c r="Y308">
        <v>22</v>
      </c>
      <c r="Z308">
        <v>28</v>
      </c>
      <c r="AA308">
        <v>46</v>
      </c>
      <c r="AB308">
        <v>41</v>
      </c>
      <c r="AC308">
        <v>34</v>
      </c>
      <c r="AD308">
        <v>12</v>
      </c>
      <c r="AE308">
        <v>43</v>
      </c>
      <c r="AF308">
        <v>39</v>
      </c>
      <c r="AG308">
        <v>1</v>
      </c>
      <c r="AH308">
        <v>26</v>
      </c>
      <c r="AI308">
        <v>37</v>
      </c>
      <c r="AJ308">
        <v>25</v>
      </c>
      <c r="AK308">
        <v>20</v>
      </c>
      <c r="AL308">
        <v>2</v>
      </c>
      <c r="AM308">
        <v>28</v>
      </c>
      <c r="AN308">
        <v>15</v>
      </c>
      <c r="AO308">
        <v>40</v>
      </c>
      <c r="AP308">
        <v>22</v>
      </c>
      <c r="AQ308">
        <v>12</v>
      </c>
      <c r="AR308">
        <v>15</v>
      </c>
      <c r="AS308">
        <v>44</v>
      </c>
      <c r="AT308">
        <v>19</v>
      </c>
      <c r="AU308">
        <v>2</v>
      </c>
      <c r="AV308">
        <v>19</v>
      </c>
      <c r="AW308">
        <v>2</v>
      </c>
      <c r="AX308">
        <v>41</v>
      </c>
      <c r="AY308">
        <v>9</v>
      </c>
      <c r="AZ308">
        <v>15</v>
      </c>
      <c r="BA308">
        <v>16</v>
      </c>
      <c r="BB308">
        <v>13</v>
      </c>
      <c r="BC308">
        <v>0</v>
      </c>
      <c r="BD308">
        <v>29</v>
      </c>
      <c r="BE308">
        <v>12</v>
      </c>
      <c r="BF308">
        <v>197509</v>
      </c>
      <c r="BG308">
        <v>7488</v>
      </c>
    </row>
    <row r="309" spans="1:59" x14ac:dyDescent="0.3">
      <c r="A309" s="3">
        <v>45599</v>
      </c>
      <c r="B309" t="s">
        <v>70</v>
      </c>
      <c r="C309">
        <v>11</v>
      </c>
      <c r="D309">
        <v>1054</v>
      </c>
      <c r="E309">
        <v>810</v>
      </c>
      <c r="F309">
        <v>3</v>
      </c>
      <c r="G309">
        <v>8</v>
      </c>
      <c r="H309">
        <v>9</v>
      </c>
      <c r="I309">
        <v>20</v>
      </c>
      <c r="J309">
        <v>2</v>
      </c>
      <c r="K309">
        <v>17</v>
      </c>
      <c r="L309">
        <v>25</v>
      </c>
      <c r="M309">
        <v>30</v>
      </c>
      <c r="N309">
        <v>3</v>
      </c>
      <c r="O309">
        <v>43</v>
      </c>
      <c r="P309">
        <v>39</v>
      </c>
      <c r="Q309">
        <v>1</v>
      </c>
      <c r="R309">
        <v>6</v>
      </c>
      <c r="S309">
        <v>9</v>
      </c>
      <c r="T309">
        <v>4</v>
      </c>
      <c r="U309">
        <v>33</v>
      </c>
      <c r="V309">
        <v>2</v>
      </c>
      <c r="W309">
        <v>45</v>
      </c>
      <c r="X309">
        <v>1</v>
      </c>
      <c r="Y309">
        <v>35</v>
      </c>
      <c r="Z309">
        <v>3</v>
      </c>
      <c r="AA309">
        <v>16</v>
      </c>
      <c r="AB309">
        <v>41</v>
      </c>
      <c r="AC309">
        <v>31</v>
      </c>
      <c r="AD309">
        <v>21</v>
      </c>
      <c r="AE309">
        <v>1</v>
      </c>
      <c r="AF309">
        <v>16</v>
      </c>
      <c r="AG309">
        <v>31</v>
      </c>
      <c r="AH309">
        <v>31</v>
      </c>
      <c r="AI309">
        <v>46</v>
      </c>
      <c r="AJ309">
        <v>27</v>
      </c>
      <c r="AK309">
        <v>21</v>
      </c>
      <c r="AL309">
        <v>19</v>
      </c>
      <c r="AM309">
        <v>18</v>
      </c>
      <c r="AN309">
        <v>31</v>
      </c>
      <c r="AO309">
        <v>16</v>
      </c>
      <c r="AP309">
        <v>9</v>
      </c>
      <c r="AQ309">
        <v>33</v>
      </c>
      <c r="AR309">
        <v>0</v>
      </c>
      <c r="AS309">
        <v>37</v>
      </c>
      <c r="AT309">
        <v>43</v>
      </c>
      <c r="AU309">
        <v>4</v>
      </c>
      <c r="AV309">
        <v>46</v>
      </c>
      <c r="AW309">
        <v>29</v>
      </c>
      <c r="AX309">
        <v>43</v>
      </c>
      <c r="AY309">
        <v>6</v>
      </c>
      <c r="AZ309">
        <v>5</v>
      </c>
      <c r="BA309">
        <v>22</v>
      </c>
      <c r="BB309">
        <v>37</v>
      </c>
      <c r="BC309">
        <v>5</v>
      </c>
      <c r="BD309">
        <v>12</v>
      </c>
      <c r="BE309">
        <v>10</v>
      </c>
      <c r="BF309">
        <v>198060</v>
      </c>
      <c r="BG309">
        <v>7500</v>
      </c>
    </row>
    <row r="310" spans="1:59" x14ac:dyDescent="0.3">
      <c r="A310" s="3">
        <v>45600</v>
      </c>
      <c r="B310" t="s">
        <v>70</v>
      </c>
      <c r="C310">
        <v>11</v>
      </c>
      <c r="D310">
        <v>1056</v>
      </c>
      <c r="E310">
        <v>810</v>
      </c>
      <c r="F310">
        <v>23</v>
      </c>
      <c r="G310">
        <v>37</v>
      </c>
      <c r="H310">
        <v>24</v>
      </c>
      <c r="I310">
        <v>30</v>
      </c>
      <c r="J310">
        <v>47</v>
      </c>
      <c r="K310">
        <v>42</v>
      </c>
      <c r="L310">
        <v>23</v>
      </c>
      <c r="M310">
        <v>2</v>
      </c>
      <c r="N310">
        <v>32</v>
      </c>
      <c r="O310">
        <v>8</v>
      </c>
      <c r="P310">
        <v>25</v>
      </c>
      <c r="Q310">
        <v>0</v>
      </c>
      <c r="R310">
        <v>45</v>
      </c>
      <c r="S310">
        <v>26</v>
      </c>
      <c r="T310">
        <v>1</v>
      </c>
      <c r="U310">
        <v>12</v>
      </c>
      <c r="V310">
        <v>15</v>
      </c>
      <c r="W310">
        <v>2</v>
      </c>
      <c r="X310">
        <v>31</v>
      </c>
      <c r="Y310">
        <v>39</v>
      </c>
      <c r="Z310">
        <v>17</v>
      </c>
      <c r="AA310">
        <v>48</v>
      </c>
      <c r="AB310">
        <v>20</v>
      </c>
      <c r="AC310">
        <v>21</v>
      </c>
      <c r="AD310">
        <v>25</v>
      </c>
      <c r="AE310">
        <v>16</v>
      </c>
      <c r="AF310">
        <v>30</v>
      </c>
      <c r="AG310">
        <v>31</v>
      </c>
      <c r="AH310">
        <v>6</v>
      </c>
      <c r="AI310">
        <v>9</v>
      </c>
      <c r="AJ310">
        <v>49</v>
      </c>
      <c r="AK310">
        <v>10</v>
      </c>
      <c r="AL310">
        <v>49</v>
      </c>
      <c r="AM310">
        <v>9</v>
      </c>
      <c r="AN310">
        <v>18</v>
      </c>
      <c r="AO310">
        <v>0</v>
      </c>
      <c r="AP310">
        <v>11</v>
      </c>
      <c r="AQ310">
        <v>32</v>
      </c>
      <c r="AR310">
        <v>27</v>
      </c>
      <c r="AS310">
        <v>14</v>
      </c>
      <c r="AT310">
        <v>44</v>
      </c>
      <c r="AU310">
        <v>49</v>
      </c>
      <c r="AV310">
        <v>30</v>
      </c>
      <c r="AW310">
        <v>10</v>
      </c>
      <c r="AX310">
        <v>35</v>
      </c>
      <c r="AY310">
        <v>24</v>
      </c>
      <c r="AZ310">
        <v>8</v>
      </c>
      <c r="BA310">
        <v>24</v>
      </c>
      <c r="BB310">
        <v>33</v>
      </c>
      <c r="BC310">
        <v>38</v>
      </c>
      <c r="BD310">
        <v>13</v>
      </c>
      <c r="BE310">
        <v>36</v>
      </c>
      <c r="BF310">
        <v>198610</v>
      </c>
      <c r="BG310">
        <v>7512</v>
      </c>
    </row>
    <row r="311" spans="1:59" x14ac:dyDescent="0.3">
      <c r="A311" s="3">
        <v>45601</v>
      </c>
      <c r="B311" t="s">
        <v>70</v>
      </c>
      <c r="C311">
        <v>11</v>
      </c>
      <c r="D311">
        <v>1057</v>
      </c>
      <c r="E311">
        <v>811</v>
      </c>
      <c r="F311">
        <v>45</v>
      </c>
      <c r="G311">
        <v>44</v>
      </c>
      <c r="H311">
        <v>44</v>
      </c>
      <c r="I311">
        <v>42</v>
      </c>
      <c r="J311">
        <v>28</v>
      </c>
      <c r="K311">
        <v>47</v>
      </c>
      <c r="L311">
        <v>5</v>
      </c>
      <c r="M311">
        <v>45</v>
      </c>
      <c r="N311">
        <v>11</v>
      </c>
      <c r="O311">
        <v>18</v>
      </c>
      <c r="P311">
        <v>6</v>
      </c>
      <c r="Q311">
        <v>14</v>
      </c>
      <c r="R311">
        <v>23</v>
      </c>
      <c r="S311">
        <v>32</v>
      </c>
      <c r="T311">
        <v>29</v>
      </c>
      <c r="U311">
        <v>48</v>
      </c>
      <c r="V311">
        <v>37</v>
      </c>
      <c r="W311">
        <v>22</v>
      </c>
      <c r="X311">
        <v>20</v>
      </c>
      <c r="Y311">
        <v>8</v>
      </c>
      <c r="Z311">
        <v>18</v>
      </c>
      <c r="AA311">
        <v>33</v>
      </c>
      <c r="AB311">
        <v>44</v>
      </c>
      <c r="AC311">
        <v>35</v>
      </c>
      <c r="AD311">
        <v>8</v>
      </c>
      <c r="AE311">
        <v>22</v>
      </c>
      <c r="AF311">
        <v>42</v>
      </c>
      <c r="AG311">
        <v>17</v>
      </c>
      <c r="AH311">
        <v>23</v>
      </c>
      <c r="AI311">
        <v>30</v>
      </c>
      <c r="AJ311">
        <v>8</v>
      </c>
      <c r="AK311">
        <v>14</v>
      </c>
      <c r="AL311">
        <v>37</v>
      </c>
      <c r="AM311">
        <v>1</v>
      </c>
      <c r="AN311">
        <v>38</v>
      </c>
      <c r="AO311">
        <v>29</v>
      </c>
      <c r="AP311">
        <v>14</v>
      </c>
      <c r="AQ311">
        <v>30</v>
      </c>
      <c r="AR311">
        <v>43</v>
      </c>
      <c r="AS311">
        <v>26</v>
      </c>
      <c r="AT311">
        <v>43</v>
      </c>
      <c r="AU311">
        <v>29</v>
      </c>
      <c r="AV311">
        <v>14</v>
      </c>
      <c r="AW311">
        <v>11</v>
      </c>
      <c r="AX311">
        <v>32</v>
      </c>
      <c r="AY311">
        <v>12</v>
      </c>
      <c r="AZ311">
        <v>8</v>
      </c>
      <c r="BA311">
        <v>39</v>
      </c>
      <c r="BB311">
        <v>27</v>
      </c>
      <c r="BC311">
        <v>6</v>
      </c>
      <c r="BD311">
        <v>24</v>
      </c>
      <c r="BE311">
        <v>48</v>
      </c>
      <c r="BF311">
        <v>199161</v>
      </c>
      <c r="BG311">
        <v>7524</v>
      </c>
    </row>
    <row r="312" spans="1:59" x14ac:dyDescent="0.3">
      <c r="A312" s="3">
        <v>45602</v>
      </c>
      <c r="B312" t="s">
        <v>70</v>
      </c>
      <c r="C312">
        <v>11</v>
      </c>
      <c r="D312">
        <v>1059</v>
      </c>
      <c r="E312">
        <v>812</v>
      </c>
      <c r="F312">
        <v>45</v>
      </c>
      <c r="G312">
        <v>16</v>
      </c>
      <c r="H312">
        <v>33</v>
      </c>
      <c r="I312">
        <v>6</v>
      </c>
      <c r="J312">
        <v>8</v>
      </c>
      <c r="K312">
        <v>37</v>
      </c>
      <c r="L312">
        <v>38</v>
      </c>
      <c r="M312">
        <v>23</v>
      </c>
      <c r="N312">
        <v>18</v>
      </c>
      <c r="O312">
        <v>35</v>
      </c>
      <c r="P312">
        <v>16</v>
      </c>
      <c r="Q312">
        <v>6</v>
      </c>
      <c r="R312">
        <v>2</v>
      </c>
      <c r="S312">
        <v>0</v>
      </c>
      <c r="T312">
        <v>4</v>
      </c>
      <c r="U312">
        <v>38</v>
      </c>
      <c r="V312">
        <v>22</v>
      </c>
      <c r="W312">
        <v>31</v>
      </c>
      <c r="X312">
        <v>32</v>
      </c>
      <c r="Y312">
        <v>5</v>
      </c>
      <c r="Z312">
        <v>6</v>
      </c>
      <c r="AA312">
        <v>29</v>
      </c>
      <c r="AB312">
        <v>5</v>
      </c>
      <c r="AC312">
        <v>47</v>
      </c>
      <c r="AD312">
        <v>30</v>
      </c>
      <c r="AE312">
        <v>5</v>
      </c>
      <c r="AF312">
        <v>3</v>
      </c>
      <c r="AG312">
        <v>0</v>
      </c>
      <c r="AH312">
        <v>27</v>
      </c>
      <c r="AI312">
        <v>5</v>
      </c>
      <c r="AJ312">
        <v>6</v>
      </c>
      <c r="AK312">
        <v>34</v>
      </c>
      <c r="AL312">
        <v>46</v>
      </c>
      <c r="AM312">
        <v>42</v>
      </c>
      <c r="AN312">
        <v>32</v>
      </c>
      <c r="AO312">
        <v>4</v>
      </c>
      <c r="AP312">
        <v>12</v>
      </c>
      <c r="AQ312">
        <v>3</v>
      </c>
      <c r="AR312">
        <v>8</v>
      </c>
      <c r="AS312">
        <v>37</v>
      </c>
      <c r="AT312">
        <v>26</v>
      </c>
      <c r="AU312">
        <v>22</v>
      </c>
      <c r="AV312">
        <v>29</v>
      </c>
      <c r="AW312">
        <v>41</v>
      </c>
      <c r="AX312">
        <v>32</v>
      </c>
      <c r="AY312">
        <v>30</v>
      </c>
      <c r="AZ312">
        <v>33</v>
      </c>
      <c r="BA312">
        <v>44</v>
      </c>
      <c r="BB312">
        <v>24</v>
      </c>
      <c r="BC312">
        <v>10</v>
      </c>
      <c r="BD312">
        <v>36</v>
      </c>
      <c r="BE312">
        <v>28</v>
      </c>
      <c r="BF312">
        <v>199712</v>
      </c>
      <c r="BG312">
        <v>7536</v>
      </c>
    </row>
    <row r="313" spans="1:59" x14ac:dyDescent="0.3">
      <c r="A313" s="3">
        <v>45603</v>
      </c>
      <c r="B313" t="s">
        <v>70</v>
      </c>
      <c r="C313">
        <v>11</v>
      </c>
      <c r="D313">
        <v>1061</v>
      </c>
      <c r="E313">
        <v>813</v>
      </c>
      <c r="F313">
        <v>6</v>
      </c>
      <c r="G313">
        <v>7</v>
      </c>
      <c r="H313">
        <v>46</v>
      </c>
      <c r="I313">
        <v>44</v>
      </c>
      <c r="J313">
        <v>33</v>
      </c>
      <c r="K313">
        <v>37</v>
      </c>
      <c r="L313">
        <v>14</v>
      </c>
      <c r="M313">
        <v>42</v>
      </c>
      <c r="N313">
        <v>16</v>
      </c>
      <c r="O313">
        <v>20</v>
      </c>
      <c r="P313">
        <v>3</v>
      </c>
      <c r="Q313">
        <v>0</v>
      </c>
      <c r="R313">
        <v>44</v>
      </c>
      <c r="S313">
        <v>41</v>
      </c>
      <c r="T313">
        <v>40</v>
      </c>
      <c r="U313">
        <v>49</v>
      </c>
      <c r="V313">
        <v>3</v>
      </c>
      <c r="W313">
        <v>13</v>
      </c>
      <c r="X313">
        <v>15</v>
      </c>
      <c r="Y313">
        <v>27</v>
      </c>
      <c r="Z313">
        <v>6</v>
      </c>
      <c r="AA313">
        <v>21</v>
      </c>
      <c r="AB313">
        <v>33</v>
      </c>
      <c r="AC313">
        <v>35</v>
      </c>
      <c r="AD313">
        <v>9</v>
      </c>
      <c r="AE313">
        <v>47</v>
      </c>
      <c r="AF313">
        <v>30</v>
      </c>
      <c r="AG313">
        <v>5</v>
      </c>
      <c r="AH313">
        <v>17</v>
      </c>
      <c r="AI313">
        <v>12</v>
      </c>
      <c r="AJ313">
        <v>11</v>
      </c>
      <c r="AK313">
        <v>3</v>
      </c>
      <c r="AL313">
        <v>44</v>
      </c>
      <c r="AM313">
        <v>23</v>
      </c>
      <c r="AN313">
        <v>15</v>
      </c>
      <c r="AO313">
        <v>39</v>
      </c>
      <c r="AP313">
        <v>49</v>
      </c>
      <c r="AQ313">
        <v>34</v>
      </c>
      <c r="AR313">
        <v>3</v>
      </c>
      <c r="AS313">
        <v>47</v>
      </c>
      <c r="AT313">
        <v>42</v>
      </c>
      <c r="AU313">
        <v>28</v>
      </c>
      <c r="AV313">
        <v>15</v>
      </c>
      <c r="AW313">
        <v>38</v>
      </c>
      <c r="AX313">
        <v>14</v>
      </c>
      <c r="AY313">
        <v>7</v>
      </c>
      <c r="AZ313">
        <v>31</v>
      </c>
      <c r="BA313">
        <v>21</v>
      </c>
      <c r="BB313">
        <v>39</v>
      </c>
      <c r="BC313">
        <v>32</v>
      </c>
      <c r="BD313">
        <v>40</v>
      </c>
      <c r="BE313">
        <v>14</v>
      </c>
      <c r="BF313">
        <v>200263</v>
      </c>
      <c r="BG313">
        <v>7549</v>
      </c>
    </row>
    <row r="314" spans="1:59" x14ac:dyDescent="0.3">
      <c r="A314" s="3">
        <v>45604</v>
      </c>
      <c r="B314" t="s">
        <v>70</v>
      </c>
      <c r="C314">
        <v>11</v>
      </c>
      <c r="D314">
        <v>1062</v>
      </c>
      <c r="E314">
        <v>813</v>
      </c>
      <c r="F314">
        <v>27</v>
      </c>
      <c r="G314">
        <v>45</v>
      </c>
      <c r="H314">
        <v>23</v>
      </c>
      <c r="I314">
        <v>23</v>
      </c>
      <c r="J314">
        <v>6</v>
      </c>
      <c r="K314">
        <v>3</v>
      </c>
      <c r="L314">
        <v>10</v>
      </c>
      <c r="M314">
        <v>49</v>
      </c>
      <c r="N314">
        <v>28</v>
      </c>
      <c r="O314">
        <v>47</v>
      </c>
      <c r="P314">
        <v>5</v>
      </c>
      <c r="Q314">
        <v>46</v>
      </c>
      <c r="R314">
        <v>17</v>
      </c>
      <c r="S314">
        <v>36</v>
      </c>
      <c r="T314">
        <v>13</v>
      </c>
      <c r="U314">
        <v>36</v>
      </c>
      <c r="V314">
        <v>10</v>
      </c>
      <c r="W314">
        <v>43</v>
      </c>
      <c r="X314">
        <v>39</v>
      </c>
      <c r="Y314">
        <v>21</v>
      </c>
      <c r="Z314">
        <v>47</v>
      </c>
      <c r="AA314">
        <v>30</v>
      </c>
      <c r="AB314">
        <v>0</v>
      </c>
      <c r="AC314">
        <v>8</v>
      </c>
      <c r="AD314">
        <v>43</v>
      </c>
      <c r="AE314">
        <v>38</v>
      </c>
      <c r="AF314">
        <v>5</v>
      </c>
      <c r="AG314">
        <v>35</v>
      </c>
      <c r="AH314">
        <v>43</v>
      </c>
      <c r="AI314">
        <v>48</v>
      </c>
      <c r="AJ314">
        <v>31</v>
      </c>
      <c r="AK314">
        <v>0</v>
      </c>
      <c r="AL314">
        <v>26</v>
      </c>
      <c r="AM314">
        <v>10</v>
      </c>
      <c r="AN314">
        <v>4</v>
      </c>
      <c r="AO314">
        <v>25</v>
      </c>
      <c r="AP314">
        <v>1</v>
      </c>
      <c r="AQ314">
        <v>47</v>
      </c>
      <c r="AR314">
        <v>10</v>
      </c>
      <c r="AS314">
        <v>37</v>
      </c>
      <c r="AT314">
        <v>30</v>
      </c>
      <c r="AU314">
        <v>10</v>
      </c>
      <c r="AV314">
        <v>36</v>
      </c>
      <c r="AW314">
        <v>33</v>
      </c>
      <c r="AX314">
        <v>6</v>
      </c>
      <c r="AY314">
        <v>0</v>
      </c>
      <c r="AZ314">
        <v>31</v>
      </c>
      <c r="BA314">
        <v>39</v>
      </c>
      <c r="BB314">
        <v>37</v>
      </c>
      <c r="BC314">
        <v>33</v>
      </c>
      <c r="BD314">
        <v>15</v>
      </c>
      <c r="BE314">
        <v>1</v>
      </c>
      <c r="BF314">
        <v>200813</v>
      </c>
      <c r="BG314">
        <v>7561</v>
      </c>
    </row>
    <row r="315" spans="1:59" x14ac:dyDescent="0.3">
      <c r="A315" s="3">
        <v>45605</v>
      </c>
      <c r="B315" t="s">
        <v>70</v>
      </c>
      <c r="C315">
        <v>11</v>
      </c>
      <c r="D315">
        <v>1064</v>
      </c>
      <c r="E315">
        <v>814</v>
      </c>
      <c r="F315">
        <v>2</v>
      </c>
      <c r="G315">
        <v>32</v>
      </c>
      <c r="H315">
        <v>32</v>
      </c>
      <c r="I315">
        <v>25</v>
      </c>
      <c r="J315">
        <v>43</v>
      </c>
      <c r="K315">
        <v>4</v>
      </c>
      <c r="L315">
        <v>4</v>
      </c>
      <c r="M315">
        <v>5</v>
      </c>
      <c r="N315">
        <v>34</v>
      </c>
      <c r="O315">
        <v>11</v>
      </c>
      <c r="P315">
        <v>42</v>
      </c>
      <c r="Q315">
        <v>13</v>
      </c>
      <c r="R315">
        <v>31</v>
      </c>
      <c r="S315">
        <v>33</v>
      </c>
      <c r="T315">
        <v>27</v>
      </c>
      <c r="U315">
        <v>1</v>
      </c>
      <c r="V315">
        <v>12</v>
      </c>
      <c r="W315">
        <v>20</v>
      </c>
      <c r="X315">
        <v>22</v>
      </c>
      <c r="Y315">
        <v>4</v>
      </c>
      <c r="Z315">
        <v>27</v>
      </c>
      <c r="AA315">
        <v>40</v>
      </c>
      <c r="AB315">
        <v>20</v>
      </c>
      <c r="AC315">
        <v>2</v>
      </c>
      <c r="AD315">
        <v>12</v>
      </c>
      <c r="AE315">
        <v>21</v>
      </c>
      <c r="AF315">
        <v>3</v>
      </c>
      <c r="AG315">
        <v>16</v>
      </c>
      <c r="AH315">
        <v>4</v>
      </c>
      <c r="AI315">
        <v>1</v>
      </c>
      <c r="AJ315">
        <v>27</v>
      </c>
      <c r="AK315">
        <v>42</v>
      </c>
      <c r="AL315">
        <v>46</v>
      </c>
      <c r="AM315">
        <v>49</v>
      </c>
      <c r="AN315">
        <v>4</v>
      </c>
      <c r="AO315">
        <v>26</v>
      </c>
      <c r="AP315">
        <v>34</v>
      </c>
      <c r="AQ315">
        <v>3</v>
      </c>
      <c r="AR315">
        <v>42</v>
      </c>
      <c r="AS315">
        <v>26</v>
      </c>
      <c r="AT315">
        <v>41</v>
      </c>
      <c r="AU315">
        <v>47</v>
      </c>
      <c r="AV315">
        <v>30</v>
      </c>
      <c r="AW315">
        <v>35</v>
      </c>
      <c r="AX315">
        <v>3</v>
      </c>
      <c r="AY315">
        <v>1</v>
      </c>
      <c r="AZ315">
        <v>48</v>
      </c>
      <c r="BA315">
        <v>44</v>
      </c>
      <c r="BB315">
        <v>1</v>
      </c>
      <c r="BC315">
        <v>1</v>
      </c>
      <c r="BD315">
        <v>9</v>
      </c>
      <c r="BE315">
        <v>29</v>
      </c>
      <c r="BF315">
        <v>201364</v>
      </c>
      <c r="BG315">
        <v>7573</v>
      </c>
    </row>
    <row r="316" spans="1:59" x14ac:dyDescent="0.3">
      <c r="A316" s="3">
        <v>45606</v>
      </c>
      <c r="B316" t="s">
        <v>70</v>
      </c>
      <c r="C316">
        <v>11</v>
      </c>
      <c r="D316">
        <v>1066</v>
      </c>
      <c r="E316">
        <v>815</v>
      </c>
      <c r="F316">
        <v>48</v>
      </c>
      <c r="G316">
        <v>27</v>
      </c>
      <c r="H316">
        <v>43</v>
      </c>
      <c r="I316">
        <v>8</v>
      </c>
      <c r="J316">
        <v>4</v>
      </c>
      <c r="K316">
        <v>45</v>
      </c>
      <c r="L316">
        <v>37</v>
      </c>
      <c r="M316">
        <v>4</v>
      </c>
      <c r="N316">
        <v>47</v>
      </c>
      <c r="O316">
        <v>39</v>
      </c>
      <c r="P316">
        <v>38</v>
      </c>
      <c r="Q316">
        <v>15</v>
      </c>
      <c r="R316">
        <v>37</v>
      </c>
      <c r="S316">
        <v>25</v>
      </c>
      <c r="T316">
        <v>2</v>
      </c>
      <c r="U316">
        <v>19</v>
      </c>
      <c r="V316">
        <v>31</v>
      </c>
      <c r="W316">
        <v>45</v>
      </c>
      <c r="X316">
        <v>42</v>
      </c>
      <c r="Y316">
        <v>30</v>
      </c>
      <c r="Z316">
        <v>46</v>
      </c>
      <c r="AA316">
        <v>24</v>
      </c>
      <c r="AB316">
        <v>46</v>
      </c>
      <c r="AC316">
        <v>41</v>
      </c>
      <c r="AD316">
        <v>34</v>
      </c>
      <c r="AE316">
        <v>42</v>
      </c>
      <c r="AF316">
        <v>29</v>
      </c>
      <c r="AG316">
        <v>47</v>
      </c>
      <c r="AH316">
        <v>41</v>
      </c>
      <c r="AI316">
        <v>43</v>
      </c>
      <c r="AJ316">
        <v>14</v>
      </c>
      <c r="AK316">
        <v>24</v>
      </c>
      <c r="AL316">
        <v>38</v>
      </c>
      <c r="AM316">
        <v>39</v>
      </c>
      <c r="AN316">
        <v>0</v>
      </c>
      <c r="AO316">
        <v>26</v>
      </c>
      <c r="AP316">
        <v>2</v>
      </c>
      <c r="AQ316">
        <v>26</v>
      </c>
      <c r="AR316">
        <v>36</v>
      </c>
      <c r="AS316">
        <v>47</v>
      </c>
      <c r="AT316">
        <v>32</v>
      </c>
      <c r="AU316">
        <v>36</v>
      </c>
      <c r="AV316">
        <v>13</v>
      </c>
      <c r="AW316">
        <v>22</v>
      </c>
      <c r="AX316">
        <v>28</v>
      </c>
      <c r="AY316">
        <v>30</v>
      </c>
      <c r="AZ316">
        <v>46</v>
      </c>
      <c r="BA316">
        <v>11</v>
      </c>
      <c r="BB316">
        <v>40</v>
      </c>
      <c r="BC316">
        <v>46</v>
      </c>
      <c r="BD316">
        <v>37</v>
      </c>
      <c r="BE316">
        <v>35</v>
      </c>
      <c r="BF316">
        <v>201915</v>
      </c>
      <c r="BG316">
        <v>7585</v>
      </c>
    </row>
    <row r="317" spans="1:59" x14ac:dyDescent="0.3">
      <c r="A317" s="3">
        <v>45607</v>
      </c>
      <c r="B317" t="s">
        <v>70</v>
      </c>
      <c r="C317">
        <v>11</v>
      </c>
      <c r="D317">
        <v>1067</v>
      </c>
      <c r="E317">
        <v>815</v>
      </c>
      <c r="F317">
        <v>35</v>
      </c>
      <c r="G317">
        <v>7</v>
      </c>
      <c r="H317">
        <v>29</v>
      </c>
      <c r="I317">
        <v>43</v>
      </c>
      <c r="J317">
        <v>36</v>
      </c>
      <c r="K317">
        <v>36</v>
      </c>
      <c r="L317">
        <v>47</v>
      </c>
      <c r="M317">
        <v>25</v>
      </c>
      <c r="N317">
        <v>49</v>
      </c>
      <c r="O317">
        <v>8</v>
      </c>
      <c r="P317">
        <v>38</v>
      </c>
      <c r="Q317">
        <v>11</v>
      </c>
      <c r="R317">
        <v>26</v>
      </c>
      <c r="S317">
        <v>34</v>
      </c>
      <c r="T317">
        <v>43</v>
      </c>
      <c r="U317">
        <v>42</v>
      </c>
      <c r="V317">
        <v>28</v>
      </c>
      <c r="W317">
        <v>8</v>
      </c>
      <c r="X317">
        <v>3</v>
      </c>
      <c r="Y317">
        <v>16</v>
      </c>
      <c r="Z317">
        <v>2</v>
      </c>
      <c r="AA317">
        <v>39</v>
      </c>
      <c r="AB317">
        <v>38</v>
      </c>
      <c r="AC317">
        <v>24</v>
      </c>
      <c r="AD317">
        <v>0</v>
      </c>
      <c r="AE317">
        <v>16</v>
      </c>
      <c r="AF317">
        <v>22</v>
      </c>
      <c r="AG317">
        <v>3</v>
      </c>
      <c r="AH317">
        <v>47</v>
      </c>
      <c r="AI317">
        <v>6</v>
      </c>
      <c r="AJ317">
        <v>7</v>
      </c>
      <c r="AK317">
        <v>48</v>
      </c>
      <c r="AL317">
        <v>45</v>
      </c>
      <c r="AM317">
        <v>30</v>
      </c>
      <c r="AN317">
        <v>47</v>
      </c>
      <c r="AO317">
        <v>30</v>
      </c>
      <c r="AP317">
        <v>48</v>
      </c>
      <c r="AQ317">
        <v>41</v>
      </c>
      <c r="AR317">
        <v>4</v>
      </c>
      <c r="AS317">
        <v>31</v>
      </c>
      <c r="AT317">
        <v>29</v>
      </c>
      <c r="AU317">
        <v>35</v>
      </c>
      <c r="AV317">
        <v>45</v>
      </c>
      <c r="AW317">
        <v>1</v>
      </c>
      <c r="AX317">
        <v>13</v>
      </c>
      <c r="AY317">
        <v>0</v>
      </c>
      <c r="AZ317">
        <v>35</v>
      </c>
      <c r="BA317">
        <v>22</v>
      </c>
      <c r="BB317">
        <v>39</v>
      </c>
      <c r="BC317">
        <v>49</v>
      </c>
      <c r="BD317">
        <v>26</v>
      </c>
      <c r="BE317">
        <v>5</v>
      </c>
      <c r="BF317">
        <v>202465</v>
      </c>
      <c r="BG317">
        <v>7597</v>
      </c>
    </row>
    <row r="318" spans="1:59" x14ac:dyDescent="0.3">
      <c r="A318" s="3">
        <v>45608</v>
      </c>
      <c r="B318" t="s">
        <v>70</v>
      </c>
      <c r="C318">
        <v>11</v>
      </c>
      <c r="D318">
        <v>1069</v>
      </c>
      <c r="E318">
        <v>816</v>
      </c>
      <c r="F318">
        <v>8</v>
      </c>
      <c r="G318">
        <v>9</v>
      </c>
      <c r="H318">
        <v>11</v>
      </c>
      <c r="I318">
        <v>16</v>
      </c>
      <c r="J318">
        <v>28</v>
      </c>
      <c r="K318">
        <v>8</v>
      </c>
      <c r="L318">
        <v>6</v>
      </c>
      <c r="M318">
        <v>46</v>
      </c>
      <c r="N318">
        <v>38</v>
      </c>
      <c r="O318">
        <v>15</v>
      </c>
      <c r="P318">
        <v>12</v>
      </c>
      <c r="Q318">
        <v>21</v>
      </c>
      <c r="R318">
        <v>10</v>
      </c>
      <c r="S318">
        <v>24</v>
      </c>
      <c r="T318">
        <v>19</v>
      </c>
      <c r="U318">
        <v>19</v>
      </c>
      <c r="V318">
        <v>40</v>
      </c>
      <c r="W318">
        <v>36</v>
      </c>
      <c r="X318">
        <v>10</v>
      </c>
      <c r="Y318">
        <v>29</v>
      </c>
      <c r="Z318">
        <v>47</v>
      </c>
      <c r="AA318">
        <v>6</v>
      </c>
      <c r="AB318">
        <v>49</v>
      </c>
      <c r="AC318">
        <v>34</v>
      </c>
      <c r="AD318">
        <v>19</v>
      </c>
      <c r="AE318">
        <v>2</v>
      </c>
      <c r="AF318">
        <v>9</v>
      </c>
      <c r="AG318">
        <v>38</v>
      </c>
      <c r="AH318">
        <v>24</v>
      </c>
      <c r="AI318">
        <v>7</v>
      </c>
      <c r="AJ318">
        <v>8</v>
      </c>
      <c r="AK318">
        <v>37</v>
      </c>
      <c r="AL318">
        <v>21</v>
      </c>
      <c r="AM318">
        <v>20</v>
      </c>
      <c r="AN318">
        <v>21</v>
      </c>
      <c r="AO318">
        <v>34</v>
      </c>
      <c r="AP318">
        <v>11</v>
      </c>
      <c r="AQ318">
        <v>41</v>
      </c>
      <c r="AR318">
        <v>26</v>
      </c>
      <c r="AS318">
        <v>49</v>
      </c>
      <c r="AT318">
        <v>36</v>
      </c>
      <c r="AU318">
        <v>31</v>
      </c>
      <c r="AV318">
        <v>8</v>
      </c>
      <c r="AW318">
        <v>22</v>
      </c>
      <c r="AX318">
        <v>1</v>
      </c>
      <c r="AY318">
        <v>13</v>
      </c>
      <c r="AZ318">
        <v>7</v>
      </c>
      <c r="BA318">
        <v>13</v>
      </c>
      <c r="BB318">
        <v>23</v>
      </c>
      <c r="BC318">
        <v>11</v>
      </c>
      <c r="BD318">
        <v>0</v>
      </c>
      <c r="BE318">
        <v>10</v>
      </c>
      <c r="BF318">
        <v>203016</v>
      </c>
      <c r="BG318">
        <v>7609</v>
      </c>
    </row>
    <row r="319" spans="1:59" x14ac:dyDescent="0.3">
      <c r="A319" s="3">
        <v>45609</v>
      </c>
      <c r="B319" t="s">
        <v>70</v>
      </c>
      <c r="C319">
        <v>11</v>
      </c>
      <c r="D319">
        <v>1071</v>
      </c>
      <c r="E319">
        <v>817</v>
      </c>
      <c r="F319">
        <v>40</v>
      </c>
      <c r="G319">
        <v>14</v>
      </c>
      <c r="H319">
        <v>41</v>
      </c>
      <c r="I319">
        <v>15</v>
      </c>
      <c r="J319">
        <v>18</v>
      </c>
      <c r="K319">
        <v>18</v>
      </c>
      <c r="L319">
        <v>25</v>
      </c>
      <c r="M319">
        <v>11</v>
      </c>
      <c r="N319">
        <v>43</v>
      </c>
      <c r="O319">
        <v>14</v>
      </c>
      <c r="P319">
        <v>12</v>
      </c>
      <c r="Q319">
        <v>19</v>
      </c>
      <c r="R319">
        <v>7</v>
      </c>
      <c r="S319">
        <v>25</v>
      </c>
      <c r="T319">
        <v>18</v>
      </c>
      <c r="U319">
        <v>11</v>
      </c>
      <c r="V319">
        <v>24</v>
      </c>
      <c r="W319">
        <v>22</v>
      </c>
      <c r="X319">
        <v>9</v>
      </c>
      <c r="Y319">
        <v>0</v>
      </c>
      <c r="Z319">
        <v>47</v>
      </c>
      <c r="AA319">
        <v>22</v>
      </c>
      <c r="AB319">
        <v>12</v>
      </c>
      <c r="AC319">
        <v>22</v>
      </c>
      <c r="AD319">
        <v>11</v>
      </c>
      <c r="AE319">
        <v>26</v>
      </c>
      <c r="AF319">
        <v>9</v>
      </c>
      <c r="AG319">
        <v>12</v>
      </c>
      <c r="AH319">
        <v>18</v>
      </c>
      <c r="AI319">
        <v>28</v>
      </c>
      <c r="AJ319">
        <v>40</v>
      </c>
      <c r="AK319">
        <v>18</v>
      </c>
      <c r="AL319">
        <v>0</v>
      </c>
      <c r="AM319">
        <v>15</v>
      </c>
      <c r="AN319">
        <v>32</v>
      </c>
      <c r="AO319">
        <v>22</v>
      </c>
      <c r="AP319">
        <v>24</v>
      </c>
      <c r="AQ319">
        <v>13</v>
      </c>
      <c r="AR319">
        <v>45</v>
      </c>
      <c r="AS319">
        <v>16</v>
      </c>
      <c r="AT319">
        <v>45</v>
      </c>
      <c r="AU319">
        <v>9</v>
      </c>
      <c r="AV319">
        <v>25</v>
      </c>
      <c r="AW319">
        <v>15</v>
      </c>
      <c r="AX319">
        <v>22</v>
      </c>
      <c r="AY319">
        <v>10</v>
      </c>
      <c r="AZ319">
        <v>2</v>
      </c>
      <c r="BA319">
        <v>49</v>
      </c>
      <c r="BB319">
        <v>40</v>
      </c>
      <c r="BC319">
        <v>25</v>
      </c>
      <c r="BD319">
        <v>3</v>
      </c>
      <c r="BE319">
        <v>41</v>
      </c>
      <c r="BF319">
        <v>203567</v>
      </c>
      <c r="BG319">
        <v>7621</v>
      </c>
    </row>
    <row r="320" spans="1:59" x14ac:dyDescent="0.3">
      <c r="A320" s="3">
        <v>45610</v>
      </c>
      <c r="B320" t="s">
        <v>70</v>
      </c>
      <c r="C320">
        <v>11</v>
      </c>
      <c r="D320">
        <v>1072</v>
      </c>
      <c r="E320">
        <v>817</v>
      </c>
      <c r="F320">
        <v>12</v>
      </c>
      <c r="G320">
        <v>46</v>
      </c>
      <c r="H320">
        <v>10</v>
      </c>
      <c r="I320">
        <v>30</v>
      </c>
      <c r="J320">
        <v>29</v>
      </c>
      <c r="K320">
        <v>45</v>
      </c>
      <c r="L320">
        <v>35</v>
      </c>
      <c r="M320">
        <v>7</v>
      </c>
      <c r="N320">
        <v>28</v>
      </c>
      <c r="O320">
        <v>36</v>
      </c>
      <c r="P320">
        <v>37</v>
      </c>
      <c r="Q320">
        <v>39</v>
      </c>
      <c r="R320">
        <v>24</v>
      </c>
      <c r="S320">
        <v>40</v>
      </c>
      <c r="T320">
        <v>34</v>
      </c>
      <c r="U320">
        <v>38</v>
      </c>
      <c r="V320">
        <v>9</v>
      </c>
      <c r="W320">
        <v>22</v>
      </c>
      <c r="X320">
        <v>13</v>
      </c>
      <c r="Y320">
        <v>25</v>
      </c>
      <c r="Z320">
        <v>18</v>
      </c>
      <c r="AA320">
        <v>34</v>
      </c>
      <c r="AB320">
        <v>10</v>
      </c>
      <c r="AC320">
        <v>25</v>
      </c>
      <c r="AD320">
        <v>6</v>
      </c>
      <c r="AE320">
        <v>15</v>
      </c>
      <c r="AF320">
        <v>47</v>
      </c>
      <c r="AG320">
        <v>16</v>
      </c>
      <c r="AH320">
        <v>21</v>
      </c>
      <c r="AI320">
        <v>7</v>
      </c>
      <c r="AJ320">
        <v>48</v>
      </c>
      <c r="AK320">
        <v>33</v>
      </c>
      <c r="AL320">
        <v>38</v>
      </c>
      <c r="AM320">
        <v>19</v>
      </c>
      <c r="AN320">
        <v>31</v>
      </c>
      <c r="AO320">
        <v>38</v>
      </c>
      <c r="AP320">
        <v>25</v>
      </c>
      <c r="AQ320">
        <v>17</v>
      </c>
      <c r="AR320">
        <v>44</v>
      </c>
      <c r="AS320">
        <v>26</v>
      </c>
      <c r="AT320">
        <v>31</v>
      </c>
      <c r="AU320">
        <v>28</v>
      </c>
      <c r="AV320">
        <v>12</v>
      </c>
      <c r="AW320">
        <v>34</v>
      </c>
      <c r="AX320">
        <v>43</v>
      </c>
      <c r="AY320">
        <v>16</v>
      </c>
      <c r="AZ320">
        <v>14</v>
      </c>
      <c r="BA320">
        <v>1</v>
      </c>
      <c r="BB320">
        <v>33</v>
      </c>
      <c r="BC320">
        <v>14</v>
      </c>
      <c r="BD320">
        <v>5</v>
      </c>
      <c r="BE320">
        <v>2</v>
      </c>
      <c r="BF320">
        <v>204117</v>
      </c>
      <c r="BG320">
        <v>7633</v>
      </c>
    </row>
    <row r="321" spans="1:59" x14ac:dyDescent="0.3">
      <c r="A321" s="3">
        <v>45611</v>
      </c>
      <c r="B321" t="s">
        <v>70</v>
      </c>
      <c r="C321">
        <v>11</v>
      </c>
      <c r="D321">
        <v>1074</v>
      </c>
      <c r="E321">
        <v>818</v>
      </c>
      <c r="F321">
        <v>42</v>
      </c>
      <c r="G321">
        <v>11</v>
      </c>
      <c r="H321">
        <v>49</v>
      </c>
      <c r="I321">
        <v>27</v>
      </c>
      <c r="J321">
        <v>39</v>
      </c>
      <c r="K321">
        <v>6</v>
      </c>
      <c r="L321">
        <v>4</v>
      </c>
      <c r="M321">
        <v>1</v>
      </c>
      <c r="N321">
        <v>21</v>
      </c>
      <c r="O321">
        <v>30</v>
      </c>
      <c r="P321">
        <v>19</v>
      </c>
      <c r="Q321">
        <v>38</v>
      </c>
      <c r="R321">
        <v>46</v>
      </c>
      <c r="S321">
        <v>7</v>
      </c>
      <c r="T321">
        <v>15</v>
      </c>
      <c r="U321">
        <v>46</v>
      </c>
      <c r="V321">
        <v>10</v>
      </c>
      <c r="W321">
        <v>22</v>
      </c>
      <c r="X321">
        <v>19</v>
      </c>
      <c r="Y321">
        <v>11</v>
      </c>
      <c r="Z321">
        <v>0</v>
      </c>
      <c r="AA321">
        <v>20</v>
      </c>
      <c r="AB321">
        <v>6</v>
      </c>
      <c r="AC321">
        <v>9</v>
      </c>
      <c r="AD321">
        <v>14</v>
      </c>
      <c r="AE321">
        <v>42</v>
      </c>
      <c r="AF321">
        <v>33</v>
      </c>
      <c r="AG321">
        <v>32</v>
      </c>
      <c r="AH321">
        <v>44</v>
      </c>
      <c r="AI321">
        <v>2</v>
      </c>
      <c r="AJ321">
        <v>28</v>
      </c>
      <c r="AK321">
        <v>41</v>
      </c>
      <c r="AL321">
        <v>27</v>
      </c>
      <c r="AM321">
        <v>4</v>
      </c>
      <c r="AN321">
        <v>49</v>
      </c>
      <c r="AO321">
        <v>12</v>
      </c>
      <c r="AP321">
        <v>45</v>
      </c>
      <c r="AQ321">
        <v>48</v>
      </c>
      <c r="AR321">
        <v>7</v>
      </c>
      <c r="AS321">
        <v>12</v>
      </c>
      <c r="AT321">
        <v>23</v>
      </c>
      <c r="AU321">
        <v>43</v>
      </c>
      <c r="AV321">
        <v>35</v>
      </c>
      <c r="AW321">
        <v>41</v>
      </c>
      <c r="AX321">
        <v>20</v>
      </c>
      <c r="AY321">
        <v>43</v>
      </c>
      <c r="AZ321">
        <v>19</v>
      </c>
      <c r="BA321">
        <v>5</v>
      </c>
      <c r="BB321">
        <v>20</v>
      </c>
      <c r="BC321">
        <v>48</v>
      </c>
      <c r="BD321">
        <v>12</v>
      </c>
      <c r="BE321">
        <v>19</v>
      </c>
      <c r="BF321">
        <v>204668</v>
      </c>
      <c r="BG321">
        <v>7645</v>
      </c>
    </row>
    <row r="322" spans="1:59" x14ac:dyDescent="0.3">
      <c r="A322" s="3">
        <v>45612</v>
      </c>
      <c r="B322" t="s">
        <v>70</v>
      </c>
      <c r="C322">
        <v>11</v>
      </c>
      <c r="D322">
        <v>1076</v>
      </c>
      <c r="E322">
        <v>819</v>
      </c>
      <c r="F322">
        <v>41</v>
      </c>
      <c r="G322">
        <v>7</v>
      </c>
      <c r="H322">
        <v>29</v>
      </c>
      <c r="I322">
        <v>21</v>
      </c>
      <c r="J322">
        <v>12</v>
      </c>
      <c r="K322">
        <v>4</v>
      </c>
      <c r="L322">
        <v>46</v>
      </c>
      <c r="M322">
        <v>1</v>
      </c>
      <c r="N322">
        <v>19</v>
      </c>
      <c r="O322">
        <v>39</v>
      </c>
      <c r="P322">
        <v>31</v>
      </c>
      <c r="Q322">
        <v>29</v>
      </c>
      <c r="R322">
        <v>6</v>
      </c>
      <c r="S322">
        <v>8</v>
      </c>
      <c r="T322">
        <v>24</v>
      </c>
      <c r="U322">
        <v>34</v>
      </c>
      <c r="V322">
        <v>10</v>
      </c>
      <c r="W322">
        <v>0</v>
      </c>
      <c r="X322">
        <v>47</v>
      </c>
      <c r="Y322">
        <v>34</v>
      </c>
      <c r="Z322">
        <v>45</v>
      </c>
      <c r="AA322">
        <v>8</v>
      </c>
      <c r="AB322">
        <v>36</v>
      </c>
      <c r="AC322">
        <v>47</v>
      </c>
      <c r="AD322">
        <v>6</v>
      </c>
      <c r="AE322">
        <v>38</v>
      </c>
      <c r="AF322">
        <v>41</v>
      </c>
      <c r="AG322">
        <v>28</v>
      </c>
      <c r="AH322">
        <v>48</v>
      </c>
      <c r="AI322">
        <v>2</v>
      </c>
      <c r="AJ322">
        <v>2</v>
      </c>
      <c r="AK322">
        <v>41</v>
      </c>
      <c r="AL322">
        <v>35</v>
      </c>
      <c r="AM322">
        <v>8</v>
      </c>
      <c r="AN322">
        <v>26</v>
      </c>
      <c r="AO322">
        <v>36</v>
      </c>
      <c r="AP322">
        <v>6</v>
      </c>
      <c r="AQ322">
        <v>13</v>
      </c>
      <c r="AR322">
        <v>22</v>
      </c>
      <c r="AS322">
        <v>9</v>
      </c>
      <c r="AT322">
        <v>43</v>
      </c>
      <c r="AU322">
        <v>40</v>
      </c>
      <c r="AV322">
        <v>8</v>
      </c>
      <c r="AW322">
        <v>46</v>
      </c>
      <c r="AX322">
        <v>48</v>
      </c>
      <c r="AY322">
        <v>3</v>
      </c>
      <c r="AZ322">
        <v>31</v>
      </c>
      <c r="BA322">
        <v>19</v>
      </c>
      <c r="BB322">
        <v>23</v>
      </c>
      <c r="BC322">
        <v>48</v>
      </c>
      <c r="BD322">
        <v>0</v>
      </c>
      <c r="BE322">
        <v>32</v>
      </c>
      <c r="BF322">
        <v>205219</v>
      </c>
      <c r="BG322">
        <v>7657</v>
      </c>
    </row>
    <row r="323" spans="1:59" x14ac:dyDescent="0.3">
      <c r="A323" s="3">
        <v>45613</v>
      </c>
      <c r="B323" t="s">
        <v>70</v>
      </c>
      <c r="C323">
        <v>11</v>
      </c>
      <c r="D323">
        <v>1077</v>
      </c>
      <c r="E323">
        <v>819</v>
      </c>
      <c r="F323">
        <v>29</v>
      </c>
      <c r="G323">
        <v>3</v>
      </c>
      <c r="H323">
        <v>9</v>
      </c>
      <c r="I323">
        <v>17</v>
      </c>
      <c r="J323">
        <v>36</v>
      </c>
      <c r="K323">
        <v>20</v>
      </c>
      <c r="L323">
        <v>31</v>
      </c>
      <c r="M323">
        <v>48</v>
      </c>
      <c r="N323">
        <v>6</v>
      </c>
      <c r="O323">
        <v>12</v>
      </c>
      <c r="P323">
        <v>1</v>
      </c>
      <c r="Q323">
        <v>49</v>
      </c>
      <c r="R323">
        <v>11</v>
      </c>
      <c r="S323">
        <v>43</v>
      </c>
      <c r="T323">
        <v>12</v>
      </c>
      <c r="U323">
        <v>36</v>
      </c>
      <c r="V323">
        <v>45</v>
      </c>
      <c r="W323">
        <v>9</v>
      </c>
      <c r="X323">
        <v>45</v>
      </c>
      <c r="Y323">
        <v>14</v>
      </c>
      <c r="Z323">
        <v>45</v>
      </c>
      <c r="AA323">
        <v>44</v>
      </c>
      <c r="AB323">
        <v>4</v>
      </c>
      <c r="AC323">
        <v>36</v>
      </c>
      <c r="AD323">
        <v>2</v>
      </c>
      <c r="AE323">
        <v>38</v>
      </c>
      <c r="AF323">
        <v>41</v>
      </c>
      <c r="AG323">
        <v>49</v>
      </c>
      <c r="AH323">
        <v>39</v>
      </c>
      <c r="AI323">
        <v>14</v>
      </c>
      <c r="AJ323">
        <v>9</v>
      </c>
      <c r="AK323">
        <v>2</v>
      </c>
      <c r="AL323">
        <v>3</v>
      </c>
      <c r="AM323">
        <v>47</v>
      </c>
      <c r="AN323">
        <v>30</v>
      </c>
      <c r="AO323">
        <v>13</v>
      </c>
      <c r="AP323">
        <v>0</v>
      </c>
      <c r="AQ323">
        <v>44</v>
      </c>
      <c r="AR323">
        <v>29</v>
      </c>
      <c r="AS323">
        <v>5</v>
      </c>
      <c r="AT323">
        <v>37</v>
      </c>
      <c r="AU323">
        <v>11</v>
      </c>
      <c r="AV323">
        <v>15</v>
      </c>
      <c r="AW323">
        <v>29</v>
      </c>
      <c r="AX323">
        <v>33</v>
      </c>
      <c r="AY323">
        <v>26</v>
      </c>
      <c r="AZ323">
        <v>34</v>
      </c>
      <c r="BA323">
        <v>35</v>
      </c>
      <c r="BB323">
        <v>26</v>
      </c>
      <c r="BC323">
        <v>34</v>
      </c>
      <c r="BD323">
        <v>20</v>
      </c>
      <c r="BE323">
        <v>43</v>
      </c>
      <c r="BF323">
        <v>205769</v>
      </c>
      <c r="BG323">
        <v>7669</v>
      </c>
    </row>
    <row r="324" spans="1:59" x14ac:dyDescent="0.3">
      <c r="A324" s="3">
        <v>45614</v>
      </c>
      <c r="B324" t="s">
        <v>70</v>
      </c>
      <c r="C324">
        <v>11</v>
      </c>
      <c r="D324">
        <v>1079</v>
      </c>
      <c r="E324">
        <v>820</v>
      </c>
      <c r="F324">
        <v>14</v>
      </c>
      <c r="G324">
        <v>19</v>
      </c>
      <c r="H324">
        <v>13</v>
      </c>
      <c r="I324">
        <v>27</v>
      </c>
      <c r="J324">
        <v>38</v>
      </c>
      <c r="K324">
        <v>21</v>
      </c>
      <c r="L324">
        <v>29</v>
      </c>
      <c r="M324">
        <v>31</v>
      </c>
      <c r="N324">
        <v>4</v>
      </c>
      <c r="O324">
        <v>9</v>
      </c>
      <c r="P324">
        <v>42</v>
      </c>
      <c r="Q324">
        <v>1</v>
      </c>
      <c r="R324">
        <v>36</v>
      </c>
      <c r="S324">
        <v>38</v>
      </c>
      <c r="T324">
        <v>25</v>
      </c>
      <c r="U324">
        <v>41</v>
      </c>
      <c r="V324">
        <v>31</v>
      </c>
      <c r="W324">
        <v>39</v>
      </c>
      <c r="X324">
        <v>4</v>
      </c>
      <c r="Y324">
        <v>18</v>
      </c>
      <c r="Z324">
        <v>31</v>
      </c>
      <c r="AA324">
        <v>37</v>
      </c>
      <c r="AB324">
        <v>38</v>
      </c>
      <c r="AC324">
        <v>35</v>
      </c>
      <c r="AD324">
        <v>32</v>
      </c>
      <c r="AE324">
        <v>35</v>
      </c>
      <c r="AF324">
        <v>25</v>
      </c>
      <c r="AG324">
        <v>36</v>
      </c>
      <c r="AH324">
        <v>3</v>
      </c>
      <c r="AI324">
        <v>30</v>
      </c>
      <c r="AJ324">
        <v>23</v>
      </c>
      <c r="AK324">
        <v>42</v>
      </c>
      <c r="AL324">
        <v>45</v>
      </c>
      <c r="AM324">
        <v>13</v>
      </c>
      <c r="AN324">
        <v>0</v>
      </c>
      <c r="AO324">
        <v>10</v>
      </c>
      <c r="AP324">
        <v>34</v>
      </c>
      <c r="AQ324">
        <v>18</v>
      </c>
      <c r="AR324">
        <v>38</v>
      </c>
      <c r="AS324">
        <v>12</v>
      </c>
      <c r="AT324">
        <v>1</v>
      </c>
      <c r="AU324">
        <v>15</v>
      </c>
      <c r="AV324">
        <v>37</v>
      </c>
      <c r="AW324">
        <v>37</v>
      </c>
      <c r="AX324">
        <v>46</v>
      </c>
      <c r="AY324">
        <v>18</v>
      </c>
      <c r="AZ324">
        <v>7</v>
      </c>
      <c r="BA324">
        <v>21</v>
      </c>
      <c r="BB324">
        <v>17</v>
      </c>
      <c r="BC324">
        <v>43</v>
      </c>
      <c r="BD324">
        <v>12</v>
      </c>
      <c r="BE324">
        <v>14</v>
      </c>
      <c r="BF324">
        <v>206320</v>
      </c>
      <c r="BG324">
        <v>7681</v>
      </c>
    </row>
    <row r="325" spans="1:59" x14ac:dyDescent="0.3">
      <c r="A325" s="3">
        <v>45615</v>
      </c>
      <c r="B325" t="s">
        <v>70</v>
      </c>
      <c r="C325">
        <v>11</v>
      </c>
      <c r="D325">
        <v>1080</v>
      </c>
      <c r="E325">
        <v>821</v>
      </c>
      <c r="F325">
        <v>45</v>
      </c>
      <c r="G325">
        <v>34</v>
      </c>
      <c r="H325">
        <v>43</v>
      </c>
      <c r="I325">
        <v>4</v>
      </c>
      <c r="J325">
        <v>2</v>
      </c>
      <c r="K325">
        <v>41</v>
      </c>
      <c r="L325">
        <v>15</v>
      </c>
      <c r="M325">
        <v>7</v>
      </c>
      <c r="N325">
        <v>13</v>
      </c>
      <c r="O325">
        <v>38</v>
      </c>
      <c r="P325">
        <v>45</v>
      </c>
      <c r="Q325">
        <v>33</v>
      </c>
      <c r="R325">
        <v>20</v>
      </c>
      <c r="S325">
        <v>48</v>
      </c>
      <c r="T325">
        <v>2</v>
      </c>
      <c r="U325">
        <v>31</v>
      </c>
      <c r="V325">
        <v>5</v>
      </c>
      <c r="W325">
        <v>49</v>
      </c>
      <c r="X325">
        <v>14</v>
      </c>
      <c r="Y325">
        <v>27</v>
      </c>
      <c r="Z325">
        <v>9</v>
      </c>
      <c r="AA325">
        <v>36</v>
      </c>
      <c r="AB325">
        <v>16</v>
      </c>
      <c r="AC325">
        <v>5</v>
      </c>
      <c r="AD325">
        <v>7</v>
      </c>
      <c r="AE325">
        <v>15</v>
      </c>
      <c r="AF325">
        <v>29</v>
      </c>
      <c r="AG325">
        <v>27</v>
      </c>
      <c r="AH325">
        <v>32</v>
      </c>
      <c r="AI325">
        <v>27</v>
      </c>
      <c r="AJ325">
        <v>41</v>
      </c>
      <c r="AK325">
        <v>13</v>
      </c>
      <c r="AL325">
        <v>16</v>
      </c>
      <c r="AM325">
        <v>3</v>
      </c>
      <c r="AN325">
        <v>9</v>
      </c>
      <c r="AO325">
        <v>37</v>
      </c>
      <c r="AP325">
        <v>24</v>
      </c>
      <c r="AQ325">
        <v>43</v>
      </c>
      <c r="AR325">
        <v>19</v>
      </c>
      <c r="AS325">
        <v>20</v>
      </c>
      <c r="AT325">
        <v>37</v>
      </c>
      <c r="AU325">
        <v>29</v>
      </c>
      <c r="AV325">
        <v>10</v>
      </c>
      <c r="AW325">
        <v>37</v>
      </c>
      <c r="AX325">
        <v>2</v>
      </c>
      <c r="AY325">
        <v>28</v>
      </c>
      <c r="AZ325">
        <v>18</v>
      </c>
      <c r="BA325">
        <v>12</v>
      </c>
      <c r="BB325">
        <v>0</v>
      </c>
      <c r="BC325">
        <v>16</v>
      </c>
      <c r="BD325">
        <v>29</v>
      </c>
      <c r="BE325">
        <v>11</v>
      </c>
      <c r="BF325">
        <v>206871</v>
      </c>
      <c r="BG325">
        <v>7693</v>
      </c>
    </row>
    <row r="326" spans="1:59" x14ac:dyDescent="0.3">
      <c r="A326" s="3">
        <v>45616</v>
      </c>
      <c r="B326" t="s">
        <v>70</v>
      </c>
      <c r="C326">
        <v>11</v>
      </c>
      <c r="D326">
        <v>1082</v>
      </c>
      <c r="E326">
        <v>821</v>
      </c>
      <c r="F326">
        <v>7</v>
      </c>
      <c r="G326">
        <v>15</v>
      </c>
      <c r="H326">
        <v>5</v>
      </c>
      <c r="I326">
        <v>4</v>
      </c>
      <c r="J326">
        <v>46</v>
      </c>
      <c r="K326">
        <v>2</v>
      </c>
      <c r="L326">
        <v>1</v>
      </c>
      <c r="M326">
        <v>16</v>
      </c>
      <c r="N326">
        <v>45</v>
      </c>
      <c r="O326">
        <v>5</v>
      </c>
      <c r="P326">
        <v>41</v>
      </c>
      <c r="Q326">
        <v>5</v>
      </c>
      <c r="R326">
        <v>44</v>
      </c>
      <c r="S326">
        <v>1</v>
      </c>
      <c r="T326">
        <v>39</v>
      </c>
      <c r="U326">
        <v>9</v>
      </c>
      <c r="V326">
        <v>12</v>
      </c>
      <c r="W326">
        <v>5</v>
      </c>
      <c r="X326">
        <v>28</v>
      </c>
      <c r="Y326">
        <v>31</v>
      </c>
      <c r="Z326">
        <v>34</v>
      </c>
      <c r="AA326">
        <v>17</v>
      </c>
      <c r="AB326">
        <v>29</v>
      </c>
      <c r="AC326">
        <v>14</v>
      </c>
      <c r="AD326">
        <v>4</v>
      </c>
      <c r="AE326">
        <v>5</v>
      </c>
      <c r="AF326">
        <v>13</v>
      </c>
      <c r="AG326">
        <v>29</v>
      </c>
      <c r="AH326">
        <v>23</v>
      </c>
      <c r="AI326">
        <v>24</v>
      </c>
      <c r="AJ326">
        <v>39</v>
      </c>
      <c r="AK326">
        <v>29</v>
      </c>
      <c r="AL326">
        <v>48</v>
      </c>
      <c r="AM326">
        <v>40</v>
      </c>
      <c r="AN326">
        <v>41</v>
      </c>
      <c r="AO326">
        <v>26</v>
      </c>
      <c r="AP326">
        <v>30</v>
      </c>
      <c r="AQ326">
        <v>1</v>
      </c>
      <c r="AR326">
        <v>3</v>
      </c>
      <c r="AS326">
        <v>28</v>
      </c>
      <c r="AT326">
        <v>1</v>
      </c>
      <c r="AU326">
        <v>6</v>
      </c>
      <c r="AV326">
        <v>30</v>
      </c>
      <c r="AW326">
        <v>25</v>
      </c>
      <c r="AX326">
        <v>31</v>
      </c>
      <c r="AY326">
        <v>31</v>
      </c>
      <c r="AZ326">
        <v>24</v>
      </c>
      <c r="BA326">
        <v>13</v>
      </c>
      <c r="BB326">
        <v>5</v>
      </c>
      <c r="BC326">
        <v>0</v>
      </c>
      <c r="BD326">
        <v>34</v>
      </c>
      <c r="BE326">
        <v>11</v>
      </c>
      <c r="BF326">
        <v>207421</v>
      </c>
      <c r="BG326">
        <v>7705</v>
      </c>
    </row>
    <row r="327" spans="1:59" x14ac:dyDescent="0.3">
      <c r="A327" s="3">
        <v>45617</v>
      </c>
      <c r="B327" t="s">
        <v>70</v>
      </c>
      <c r="C327">
        <v>11</v>
      </c>
      <c r="D327">
        <v>1084</v>
      </c>
      <c r="E327">
        <v>822</v>
      </c>
      <c r="F327">
        <v>49</v>
      </c>
      <c r="G327">
        <v>28</v>
      </c>
      <c r="H327">
        <v>16</v>
      </c>
      <c r="I327">
        <v>48</v>
      </c>
      <c r="J327">
        <v>25</v>
      </c>
      <c r="K327">
        <v>45</v>
      </c>
      <c r="L327">
        <v>36</v>
      </c>
      <c r="M327">
        <v>12</v>
      </c>
      <c r="N327">
        <v>21</v>
      </c>
      <c r="O327">
        <v>47</v>
      </c>
      <c r="P327">
        <v>36</v>
      </c>
      <c r="Q327">
        <v>29</v>
      </c>
      <c r="R327">
        <v>19</v>
      </c>
      <c r="S327">
        <v>12</v>
      </c>
      <c r="T327">
        <v>24</v>
      </c>
      <c r="U327">
        <v>6</v>
      </c>
      <c r="V327">
        <v>18</v>
      </c>
      <c r="W327">
        <v>30</v>
      </c>
      <c r="X327">
        <v>26</v>
      </c>
      <c r="Y327">
        <v>32</v>
      </c>
      <c r="Z327">
        <v>25</v>
      </c>
      <c r="AA327">
        <v>37</v>
      </c>
      <c r="AB327">
        <v>14</v>
      </c>
      <c r="AC327">
        <v>33</v>
      </c>
      <c r="AD327">
        <v>2</v>
      </c>
      <c r="AE327">
        <v>10</v>
      </c>
      <c r="AF327">
        <v>22</v>
      </c>
      <c r="AG327">
        <v>41</v>
      </c>
      <c r="AH327">
        <v>6</v>
      </c>
      <c r="AI327">
        <v>23</v>
      </c>
      <c r="AJ327">
        <v>12</v>
      </c>
      <c r="AK327">
        <v>8</v>
      </c>
      <c r="AL327">
        <v>2</v>
      </c>
      <c r="AM327">
        <v>25</v>
      </c>
      <c r="AN327">
        <v>17</v>
      </c>
      <c r="AO327">
        <v>45</v>
      </c>
      <c r="AP327">
        <v>37</v>
      </c>
      <c r="AQ327">
        <v>32</v>
      </c>
      <c r="AR327">
        <v>49</v>
      </c>
      <c r="AS327">
        <v>12</v>
      </c>
      <c r="AT327">
        <v>2</v>
      </c>
      <c r="AU327">
        <v>4</v>
      </c>
      <c r="AV327">
        <v>35</v>
      </c>
      <c r="AW327">
        <v>10</v>
      </c>
      <c r="AX327">
        <v>21</v>
      </c>
      <c r="AY327">
        <v>28</v>
      </c>
      <c r="AZ327">
        <v>47</v>
      </c>
      <c r="BA327">
        <v>16</v>
      </c>
      <c r="BB327">
        <v>3</v>
      </c>
      <c r="BC327">
        <v>49</v>
      </c>
      <c r="BD327">
        <v>18</v>
      </c>
      <c r="BE327">
        <v>16</v>
      </c>
      <c r="BF327">
        <v>207972</v>
      </c>
      <c r="BG327">
        <v>7717</v>
      </c>
    </row>
    <row r="328" spans="1:59" x14ac:dyDescent="0.3">
      <c r="A328" s="3">
        <v>45618</v>
      </c>
      <c r="B328" t="s">
        <v>70</v>
      </c>
      <c r="C328">
        <v>11</v>
      </c>
      <c r="D328">
        <v>1085</v>
      </c>
      <c r="E328">
        <v>823</v>
      </c>
      <c r="F328">
        <v>8</v>
      </c>
      <c r="G328">
        <v>41</v>
      </c>
      <c r="H328">
        <v>41</v>
      </c>
      <c r="I328">
        <v>31</v>
      </c>
      <c r="J328">
        <v>25</v>
      </c>
      <c r="K328">
        <v>32</v>
      </c>
      <c r="L328">
        <v>0</v>
      </c>
      <c r="M328">
        <v>45</v>
      </c>
      <c r="N328">
        <v>38</v>
      </c>
      <c r="O328">
        <v>4</v>
      </c>
      <c r="P328">
        <v>2</v>
      </c>
      <c r="Q328">
        <v>4</v>
      </c>
      <c r="R328">
        <v>16</v>
      </c>
      <c r="S328">
        <v>39</v>
      </c>
      <c r="T328">
        <v>39</v>
      </c>
      <c r="U328">
        <v>38</v>
      </c>
      <c r="V328">
        <v>39</v>
      </c>
      <c r="W328">
        <v>43</v>
      </c>
      <c r="X328">
        <v>33</v>
      </c>
      <c r="Y328">
        <v>9</v>
      </c>
      <c r="Z328">
        <v>18</v>
      </c>
      <c r="AA328">
        <v>41</v>
      </c>
      <c r="AB328">
        <v>40</v>
      </c>
      <c r="AC328">
        <v>17</v>
      </c>
      <c r="AD328">
        <v>3</v>
      </c>
      <c r="AE328">
        <v>24</v>
      </c>
      <c r="AF328">
        <v>29</v>
      </c>
      <c r="AG328">
        <v>37</v>
      </c>
      <c r="AH328">
        <v>24</v>
      </c>
      <c r="AI328">
        <v>38</v>
      </c>
      <c r="AJ328">
        <v>2</v>
      </c>
      <c r="AK328">
        <v>36</v>
      </c>
      <c r="AL328">
        <v>46</v>
      </c>
      <c r="AM328">
        <v>46</v>
      </c>
      <c r="AN328">
        <v>4</v>
      </c>
      <c r="AO328">
        <v>39</v>
      </c>
      <c r="AP328">
        <v>22</v>
      </c>
      <c r="AQ328">
        <v>28</v>
      </c>
      <c r="AR328">
        <v>25</v>
      </c>
      <c r="AS328">
        <v>34</v>
      </c>
      <c r="AT328">
        <v>29</v>
      </c>
      <c r="AU328">
        <v>3</v>
      </c>
      <c r="AV328">
        <v>39</v>
      </c>
      <c r="AW328">
        <v>29</v>
      </c>
      <c r="AX328">
        <v>33</v>
      </c>
      <c r="AY328">
        <v>37</v>
      </c>
      <c r="AZ328">
        <v>21</v>
      </c>
      <c r="BA328">
        <v>46</v>
      </c>
      <c r="BB328">
        <v>2</v>
      </c>
      <c r="BC328">
        <v>31</v>
      </c>
      <c r="BD328">
        <v>17</v>
      </c>
      <c r="BE328">
        <v>41</v>
      </c>
      <c r="BF328">
        <v>208523</v>
      </c>
      <c r="BG328">
        <v>7729</v>
      </c>
    </row>
    <row r="329" spans="1:59" x14ac:dyDescent="0.3">
      <c r="A329" s="3">
        <v>45619</v>
      </c>
      <c r="B329" t="s">
        <v>70</v>
      </c>
      <c r="C329">
        <v>11</v>
      </c>
      <c r="D329">
        <v>1087</v>
      </c>
      <c r="E329">
        <v>823</v>
      </c>
      <c r="F329">
        <v>45</v>
      </c>
      <c r="G329">
        <v>10</v>
      </c>
      <c r="H329">
        <v>37</v>
      </c>
      <c r="I329">
        <v>14</v>
      </c>
      <c r="J329">
        <v>22</v>
      </c>
      <c r="K329">
        <v>1</v>
      </c>
      <c r="L329">
        <v>23</v>
      </c>
      <c r="M329">
        <v>4</v>
      </c>
      <c r="N329">
        <v>47</v>
      </c>
      <c r="O329">
        <v>42</v>
      </c>
      <c r="P329">
        <v>35</v>
      </c>
      <c r="Q329">
        <v>24</v>
      </c>
      <c r="R329">
        <v>39</v>
      </c>
      <c r="S329">
        <v>21</v>
      </c>
      <c r="T329">
        <v>39</v>
      </c>
      <c r="U329">
        <v>18</v>
      </c>
      <c r="V329">
        <v>7</v>
      </c>
      <c r="W329">
        <v>38</v>
      </c>
      <c r="X329">
        <v>30</v>
      </c>
      <c r="Y329">
        <v>36</v>
      </c>
      <c r="Z329">
        <v>0</v>
      </c>
      <c r="AA329">
        <v>3</v>
      </c>
      <c r="AB329">
        <v>38</v>
      </c>
      <c r="AC329">
        <v>34</v>
      </c>
      <c r="AD329">
        <v>10</v>
      </c>
      <c r="AE329">
        <v>37</v>
      </c>
      <c r="AF329">
        <v>26</v>
      </c>
      <c r="AG329">
        <v>17</v>
      </c>
      <c r="AH329">
        <v>18</v>
      </c>
      <c r="AI329">
        <v>27</v>
      </c>
      <c r="AJ329">
        <v>11</v>
      </c>
      <c r="AK329">
        <v>49</v>
      </c>
      <c r="AL329">
        <v>9</v>
      </c>
      <c r="AM329">
        <v>30</v>
      </c>
      <c r="AN329">
        <v>47</v>
      </c>
      <c r="AO329">
        <v>17</v>
      </c>
      <c r="AP329">
        <v>0</v>
      </c>
      <c r="AQ329">
        <v>0</v>
      </c>
      <c r="AR329">
        <v>4</v>
      </c>
      <c r="AS329">
        <v>14</v>
      </c>
      <c r="AT329">
        <v>25</v>
      </c>
      <c r="AU329">
        <v>30</v>
      </c>
      <c r="AV329">
        <v>14</v>
      </c>
      <c r="AW329">
        <v>32</v>
      </c>
      <c r="AX329">
        <v>23</v>
      </c>
      <c r="AY329">
        <v>20</v>
      </c>
      <c r="AZ329">
        <v>0</v>
      </c>
      <c r="BA329">
        <v>27</v>
      </c>
      <c r="BB329">
        <v>12</v>
      </c>
      <c r="BC329">
        <v>13</v>
      </c>
      <c r="BD329">
        <v>27</v>
      </c>
      <c r="BE329">
        <v>9</v>
      </c>
      <c r="BF329">
        <v>209073</v>
      </c>
      <c r="BG329">
        <v>7741</v>
      </c>
    </row>
    <row r="330" spans="1:59" x14ac:dyDescent="0.3">
      <c r="A330" s="3">
        <v>45620</v>
      </c>
      <c r="B330" t="s">
        <v>70</v>
      </c>
      <c r="C330">
        <v>11</v>
      </c>
      <c r="D330">
        <v>1089</v>
      </c>
      <c r="E330">
        <v>824</v>
      </c>
      <c r="F330">
        <v>31</v>
      </c>
      <c r="G330">
        <v>18</v>
      </c>
      <c r="H330">
        <v>23</v>
      </c>
      <c r="I330">
        <v>36</v>
      </c>
      <c r="J330">
        <v>19</v>
      </c>
      <c r="K330">
        <v>22</v>
      </c>
      <c r="L330">
        <v>18</v>
      </c>
      <c r="M330">
        <v>5</v>
      </c>
      <c r="N330">
        <v>20</v>
      </c>
      <c r="O330">
        <v>1</v>
      </c>
      <c r="P330">
        <v>14</v>
      </c>
      <c r="Q330">
        <v>40</v>
      </c>
      <c r="R330">
        <v>22</v>
      </c>
      <c r="S330">
        <v>36</v>
      </c>
      <c r="T330">
        <v>46</v>
      </c>
      <c r="U330">
        <v>38</v>
      </c>
      <c r="V330">
        <v>26</v>
      </c>
      <c r="W330">
        <v>7</v>
      </c>
      <c r="X330">
        <v>46</v>
      </c>
      <c r="Y330">
        <v>26</v>
      </c>
      <c r="Z330">
        <v>25</v>
      </c>
      <c r="AA330">
        <v>47</v>
      </c>
      <c r="AB330">
        <v>7</v>
      </c>
      <c r="AC330">
        <v>22</v>
      </c>
      <c r="AD330">
        <v>38</v>
      </c>
      <c r="AE330">
        <v>42</v>
      </c>
      <c r="AF330">
        <v>19</v>
      </c>
      <c r="AG330">
        <v>21</v>
      </c>
      <c r="AH330">
        <v>25</v>
      </c>
      <c r="AI330">
        <v>19</v>
      </c>
      <c r="AJ330">
        <v>22</v>
      </c>
      <c r="AK330">
        <v>20</v>
      </c>
      <c r="AL330">
        <v>18</v>
      </c>
      <c r="AM330">
        <v>11</v>
      </c>
      <c r="AN330">
        <v>30</v>
      </c>
      <c r="AO330">
        <v>0</v>
      </c>
      <c r="AP330">
        <v>35</v>
      </c>
      <c r="AQ330">
        <v>15</v>
      </c>
      <c r="AR330">
        <v>49</v>
      </c>
      <c r="AS330">
        <v>29</v>
      </c>
      <c r="AT330">
        <v>31</v>
      </c>
      <c r="AU330">
        <v>25</v>
      </c>
      <c r="AV330">
        <v>34</v>
      </c>
      <c r="AW330">
        <v>46</v>
      </c>
      <c r="AX330">
        <v>23</v>
      </c>
      <c r="AY330">
        <v>17</v>
      </c>
      <c r="AZ330">
        <v>5</v>
      </c>
      <c r="BA330">
        <v>13</v>
      </c>
      <c r="BB330">
        <v>30</v>
      </c>
      <c r="BC330">
        <v>20</v>
      </c>
      <c r="BD330">
        <v>30</v>
      </c>
      <c r="BE330">
        <v>6</v>
      </c>
      <c r="BF330">
        <v>209624</v>
      </c>
      <c r="BG330">
        <v>7753</v>
      </c>
    </row>
    <row r="331" spans="1:59" x14ac:dyDescent="0.3">
      <c r="A331" s="3">
        <v>45621</v>
      </c>
      <c r="B331" t="s">
        <v>70</v>
      </c>
      <c r="C331">
        <v>11</v>
      </c>
      <c r="D331">
        <v>1090</v>
      </c>
      <c r="E331">
        <v>825</v>
      </c>
      <c r="F331">
        <v>18</v>
      </c>
      <c r="G331">
        <v>37</v>
      </c>
      <c r="H331">
        <v>26</v>
      </c>
      <c r="I331">
        <v>0</v>
      </c>
      <c r="J331">
        <v>12</v>
      </c>
      <c r="K331">
        <v>31</v>
      </c>
      <c r="L331">
        <v>48</v>
      </c>
      <c r="M331">
        <v>10</v>
      </c>
      <c r="N331">
        <v>8</v>
      </c>
      <c r="O331">
        <v>16</v>
      </c>
      <c r="P331">
        <v>15</v>
      </c>
      <c r="Q331">
        <v>24</v>
      </c>
      <c r="R331">
        <v>8</v>
      </c>
      <c r="S331">
        <v>27</v>
      </c>
      <c r="T331">
        <v>19</v>
      </c>
      <c r="U331">
        <v>26</v>
      </c>
      <c r="V331">
        <v>42</v>
      </c>
      <c r="W331">
        <v>17</v>
      </c>
      <c r="X331">
        <v>13</v>
      </c>
      <c r="Y331">
        <v>45</v>
      </c>
      <c r="Z331">
        <v>22</v>
      </c>
      <c r="AA331">
        <v>12</v>
      </c>
      <c r="AB331">
        <v>31</v>
      </c>
      <c r="AC331">
        <v>6</v>
      </c>
      <c r="AD331">
        <v>20</v>
      </c>
      <c r="AE331">
        <v>45</v>
      </c>
      <c r="AF331">
        <v>17</v>
      </c>
      <c r="AG331">
        <v>31</v>
      </c>
      <c r="AH331">
        <v>12</v>
      </c>
      <c r="AI331">
        <v>48</v>
      </c>
      <c r="AJ331">
        <v>48</v>
      </c>
      <c r="AK331">
        <v>48</v>
      </c>
      <c r="AL331">
        <v>23</v>
      </c>
      <c r="AM331">
        <v>37</v>
      </c>
      <c r="AN331">
        <v>22</v>
      </c>
      <c r="AO331">
        <v>18</v>
      </c>
      <c r="AP331">
        <v>36</v>
      </c>
      <c r="AQ331">
        <v>33</v>
      </c>
      <c r="AR331">
        <v>4</v>
      </c>
      <c r="AS331">
        <v>10</v>
      </c>
      <c r="AT331">
        <v>14</v>
      </c>
      <c r="AU331">
        <v>2</v>
      </c>
      <c r="AV331">
        <v>23</v>
      </c>
      <c r="AW331">
        <v>33</v>
      </c>
      <c r="AX331">
        <v>31</v>
      </c>
      <c r="AY331">
        <v>32</v>
      </c>
      <c r="AZ331">
        <v>29</v>
      </c>
      <c r="BA331">
        <v>33</v>
      </c>
      <c r="BB331">
        <v>8</v>
      </c>
      <c r="BC331">
        <v>45</v>
      </c>
      <c r="BD331">
        <v>7</v>
      </c>
      <c r="BE331">
        <v>24</v>
      </c>
      <c r="BF331">
        <v>210175</v>
      </c>
      <c r="BG331">
        <v>7766</v>
      </c>
    </row>
    <row r="332" spans="1:59" x14ac:dyDescent="0.3">
      <c r="A332" s="3">
        <v>45622</v>
      </c>
      <c r="B332" t="s">
        <v>70</v>
      </c>
      <c r="C332">
        <v>11</v>
      </c>
      <c r="D332">
        <v>1092</v>
      </c>
      <c r="E332">
        <v>826</v>
      </c>
      <c r="F332">
        <v>16</v>
      </c>
      <c r="G332">
        <v>40</v>
      </c>
      <c r="H332">
        <v>17</v>
      </c>
      <c r="I332">
        <v>43</v>
      </c>
      <c r="J332">
        <v>43</v>
      </c>
      <c r="K332">
        <v>22</v>
      </c>
      <c r="L332">
        <v>6</v>
      </c>
      <c r="M332">
        <v>21</v>
      </c>
      <c r="N332">
        <v>11</v>
      </c>
      <c r="O332">
        <v>10</v>
      </c>
      <c r="P332">
        <v>34</v>
      </c>
      <c r="Q332">
        <v>49</v>
      </c>
      <c r="R332">
        <v>44</v>
      </c>
      <c r="S332">
        <v>4</v>
      </c>
      <c r="T332">
        <v>35</v>
      </c>
      <c r="U332">
        <v>26</v>
      </c>
      <c r="V332">
        <v>32</v>
      </c>
      <c r="W332">
        <v>44</v>
      </c>
      <c r="X332">
        <v>25</v>
      </c>
      <c r="Y332">
        <v>17</v>
      </c>
      <c r="Z332">
        <v>49</v>
      </c>
      <c r="AA332">
        <v>48</v>
      </c>
      <c r="AB332">
        <v>5</v>
      </c>
      <c r="AC332">
        <v>12</v>
      </c>
      <c r="AD332">
        <v>46</v>
      </c>
      <c r="AE332">
        <v>24</v>
      </c>
      <c r="AF332">
        <v>28</v>
      </c>
      <c r="AG332">
        <v>18</v>
      </c>
      <c r="AH332">
        <v>12</v>
      </c>
      <c r="AI332">
        <v>2</v>
      </c>
      <c r="AJ332">
        <v>47</v>
      </c>
      <c r="AK332">
        <v>39</v>
      </c>
      <c r="AL332">
        <v>46</v>
      </c>
      <c r="AM332">
        <v>42</v>
      </c>
      <c r="AN332">
        <v>36</v>
      </c>
      <c r="AO332">
        <v>32</v>
      </c>
      <c r="AP332">
        <v>45</v>
      </c>
      <c r="AQ332">
        <v>16</v>
      </c>
      <c r="AR332">
        <v>10</v>
      </c>
      <c r="AS332">
        <v>39</v>
      </c>
      <c r="AT332">
        <v>33</v>
      </c>
      <c r="AU332">
        <v>17</v>
      </c>
      <c r="AV332">
        <v>6</v>
      </c>
      <c r="AW332">
        <v>19</v>
      </c>
      <c r="AX332">
        <v>11</v>
      </c>
      <c r="AY332">
        <v>11</v>
      </c>
      <c r="AZ332">
        <v>27</v>
      </c>
      <c r="BA332">
        <v>23</v>
      </c>
      <c r="BB332">
        <v>20</v>
      </c>
      <c r="BC332">
        <v>6</v>
      </c>
      <c r="BD332">
        <v>40</v>
      </c>
      <c r="BE332">
        <v>31</v>
      </c>
      <c r="BF332">
        <v>210726</v>
      </c>
      <c r="BG332">
        <v>7778</v>
      </c>
    </row>
    <row r="333" spans="1:59" x14ac:dyDescent="0.3">
      <c r="A333" s="3">
        <v>45623</v>
      </c>
      <c r="B333" t="s">
        <v>70</v>
      </c>
      <c r="C333">
        <v>11</v>
      </c>
      <c r="D333">
        <v>1094</v>
      </c>
      <c r="E333">
        <v>826</v>
      </c>
      <c r="F333">
        <v>23</v>
      </c>
      <c r="G333">
        <v>13</v>
      </c>
      <c r="H333">
        <v>13</v>
      </c>
      <c r="I333">
        <v>45</v>
      </c>
      <c r="J333">
        <v>0</v>
      </c>
      <c r="K333">
        <v>32</v>
      </c>
      <c r="L333">
        <v>16</v>
      </c>
      <c r="M333">
        <v>38</v>
      </c>
      <c r="N333">
        <v>44</v>
      </c>
      <c r="O333">
        <v>29</v>
      </c>
      <c r="P333">
        <v>39</v>
      </c>
      <c r="Q333">
        <v>38</v>
      </c>
      <c r="R333">
        <v>3</v>
      </c>
      <c r="S333">
        <v>11</v>
      </c>
      <c r="T333">
        <v>25</v>
      </c>
      <c r="U333">
        <v>23</v>
      </c>
      <c r="V333">
        <v>47</v>
      </c>
      <c r="W333">
        <v>43</v>
      </c>
      <c r="X333">
        <v>7</v>
      </c>
      <c r="Y333">
        <v>14</v>
      </c>
      <c r="Z333">
        <v>34</v>
      </c>
      <c r="AA333">
        <v>14</v>
      </c>
      <c r="AB333">
        <v>33</v>
      </c>
      <c r="AC333">
        <v>26</v>
      </c>
      <c r="AD333">
        <v>48</v>
      </c>
      <c r="AE333">
        <v>21</v>
      </c>
      <c r="AF333">
        <v>10</v>
      </c>
      <c r="AG333">
        <v>30</v>
      </c>
      <c r="AH333">
        <v>6</v>
      </c>
      <c r="AI333">
        <v>27</v>
      </c>
      <c r="AJ333">
        <v>5</v>
      </c>
      <c r="AK333">
        <v>41</v>
      </c>
      <c r="AL333">
        <v>27</v>
      </c>
      <c r="AM333">
        <v>39</v>
      </c>
      <c r="AN333">
        <v>16</v>
      </c>
      <c r="AO333">
        <v>5</v>
      </c>
      <c r="AP333">
        <v>33</v>
      </c>
      <c r="AQ333">
        <v>0</v>
      </c>
      <c r="AR333">
        <v>13</v>
      </c>
      <c r="AS333">
        <v>45</v>
      </c>
      <c r="AT333">
        <v>29</v>
      </c>
      <c r="AU333">
        <v>10</v>
      </c>
      <c r="AV333">
        <v>16</v>
      </c>
      <c r="AW333">
        <v>4</v>
      </c>
      <c r="AX333">
        <v>0</v>
      </c>
      <c r="AY333">
        <v>1</v>
      </c>
      <c r="AZ333">
        <v>0</v>
      </c>
      <c r="BA333">
        <v>18</v>
      </c>
      <c r="BB333">
        <v>24</v>
      </c>
      <c r="BC333">
        <v>40</v>
      </c>
      <c r="BD333">
        <v>45</v>
      </c>
      <c r="BE333">
        <v>16</v>
      </c>
      <c r="BF333">
        <v>211276</v>
      </c>
      <c r="BG333">
        <v>7790</v>
      </c>
    </row>
    <row r="334" spans="1:59" x14ac:dyDescent="0.3">
      <c r="A334" s="3">
        <v>45624</v>
      </c>
      <c r="B334" t="s">
        <v>70</v>
      </c>
      <c r="C334">
        <v>11</v>
      </c>
      <c r="D334">
        <v>1095</v>
      </c>
      <c r="E334">
        <v>827</v>
      </c>
      <c r="F334">
        <v>2</v>
      </c>
      <c r="G334">
        <v>37</v>
      </c>
      <c r="H334">
        <v>0</v>
      </c>
      <c r="I334">
        <v>47</v>
      </c>
      <c r="J334">
        <v>33</v>
      </c>
      <c r="K334">
        <v>40</v>
      </c>
      <c r="L334">
        <v>4</v>
      </c>
      <c r="M334">
        <v>23</v>
      </c>
      <c r="N334">
        <v>9</v>
      </c>
      <c r="O334">
        <v>48</v>
      </c>
      <c r="P334">
        <v>31</v>
      </c>
      <c r="Q334">
        <v>31</v>
      </c>
      <c r="R334">
        <v>6</v>
      </c>
      <c r="S334">
        <v>1</v>
      </c>
      <c r="T334">
        <v>44</v>
      </c>
      <c r="U334">
        <v>9</v>
      </c>
      <c r="V334">
        <v>0</v>
      </c>
      <c r="W334">
        <v>32</v>
      </c>
      <c r="X334">
        <v>3</v>
      </c>
      <c r="Y334">
        <v>44</v>
      </c>
      <c r="Z334">
        <v>34</v>
      </c>
      <c r="AA334">
        <v>32</v>
      </c>
      <c r="AB334">
        <v>27</v>
      </c>
      <c r="AC334">
        <v>29</v>
      </c>
      <c r="AD334">
        <v>38</v>
      </c>
      <c r="AE334">
        <v>25</v>
      </c>
      <c r="AF334">
        <v>22</v>
      </c>
      <c r="AG334">
        <v>33</v>
      </c>
      <c r="AH334">
        <v>48</v>
      </c>
      <c r="AI334">
        <v>14</v>
      </c>
      <c r="AJ334">
        <v>31</v>
      </c>
      <c r="AK334">
        <v>7</v>
      </c>
      <c r="AL334">
        <v>8</v>
      </c>
      <c r="AM334">
        <v>27</v>
      </c>
      <c r="AN334">
        <v>32</v>
      </c>
      <c r="AO334">
        <v>19</v>
      </c>
      <c r="AP334">
        <v>15</v>
      </c>
      <c r="AQ334">
        <v>19</v>
      </c>
      <c r="AR334">
        <v>19</v>
      </c>
      <c r="AS334">
        <v>28</v>
      </c>
      <c r="AT334">
        <v>1</v>
      </c>
      <c r="AU334">
        <v>13</v>
      </c>
      <c r="AV334">
        <v>46</v>
      </c>
      <c r="AW334">
        <v>24</v>
      </c>
      <c r="AX334">
        <v>5</v>
      </c>
      <c r="AY334">
        <v>6</v>
      </c>
      <c r="AZ334">
        <v>30</v>
      </c>
      <c r="BA334">
        <v>2</v>
      </c>
      <c r="BB334">
        <v>10</v>
      </c>
      <c r="BC334">
        <v>34</v>
      </c>
      <c r="BD334">
        <v>24</v>
      </c>
      <c r="BE334">
        <v>40</v>
      </c>
      <c r="BF334">
        <v>211827</v>
      </c>
      <c r="BG334">
        <v>7802</v>
      </c>
    </row>
    <row r="335" spans="1:59" x14ac:dyDescent="0.3">
      <c r="A335" s="3">
        <v>45625</v>
      </c>
      <c r="B335" t="s">
        <v>70</v>
      </c>
      <c r="C335">
        <v>11</v>
      </c>
      <c r="D335">
        <v>1097</v>
      </c>
      <c r="E335">
        <v>828</v>
      </c>
      <c r="F335">
        <v>7</v>
      </c>
      <c r="G335">
        <v>47</v>
      </c>
      <c r="H335">
        <v>24</v>
      </c>
      <c r="I335">
        <v>48</v>
      </c>
      <c r="J335">
        <v>13</v>
      </c>
      <c r="K335">
        <v>19</v>
      </c>
      <c r="L335">
        <v>41</v>
      </c>
      <c r="M335">
        <v>11</v>
      </c>
      <c r="N335">
        <v>49</v>
      </c>
      <c r="O335">
        <v>39</v>
      </c>
      <c r="P335">
        <v>12</v>
      </c>
      <c r="Q335">
        <v>37</v>
      </c>
      <c r="R335">
        <v>7</v>
      </c>
      <c r="S335">
        <v>28</v>
      </c>
      <c r="T335">
        <v>4</v>
      </c>
      <c r="U335">
        <v>44</v>
      </c>
      <c r="V335">
        <v>4</v>
      </c>
      <c r="W335">
        <v>16</v>
      </c>
      <c r="X335">
        <v>9</v>
      </c>
      <c r="Y335">
        <v>4</v>
      </c>
      <c r="Z335">
        <v>36</v>
      </c>
      <c r="AA335">
        <v>28</v>
      </c>
      <c r="AB335">
        <v>38</v>
      </c>
      <c r="AC335">
        <v>16</v>
      </c>
      <c r="AD335">
        <v>43</v>
      </c>
      <c r="AE335">
        <v>44</v>
      </c>
      <c r="AF335">
        <v>25</v>
      </c>
      <c r="AG335">
        <v>29</v>
      </c>
      <c r="AH335">
        <v>21</v>
      </c>
      <c r="AI335">
        <v>23</v>
      </c>
      <c r="AJ335">
        <v>33</v>
      </c>
      <c r="AK335">
        <v>26</v>
      </c>
      <c r="AL335">
        <v>1</v>
      </c>
      <c r="AM335">
        <v>40</v>
      </c>
      <c r="AN335">
        <v>33</v>
      </c>
      <c r="AO335">
        <v>34</v>
      </c>
      <c r="AP335">
        <v>25</v>
      </c>
      <c r="AQ335">
        <v>41</v>
      </c>
      <c r="AR335">
        <v>24</v>
      </c>
      <c r="AS335">
        <v>7</v>
      </c>
      <c r="AT335">
        <v>38</v>
      </c>
      <c r="AU335">
        <v>10</v>
      </c>
      <c r="AV335">
        <v>4</v>
      </c>
      <c r="AW335">
        <v>37</v>
      </c>
      <c r="AX335">
        <v>23</v>
      </c>
      <c r="AY335">
        <v>48</v>
      </c>
      <c r="AZ335">
        <v>11</v>
      </c>
      <c r="BA335">
        <v>7</v>
      </c>
      <c r="BB335">
        <v>10</v>
      </c>
      <c r="BC335">
        <v>36</v>
      </c>
      <c r="BD335">
        <v>3</v>
      </c>
      <c r="BE335">
        <v>9</v>
      </c>
      <c r="BF335">
        <v>212378</v>
      </c>
      <c r="BG335">
        <v>7814</v>
      </c>
    </row>
    <row r="336" spans="1:59" x14ac:dyDescent="0.3">
      <c r="A336" s="3">
        <v>45626</v>
      </c>
      <c r="B336" t="s">
        <v>70</v>
      </c>
      <c r="C336">
        <v>11</v>
      </c>
      <c r="D336">
        <v>1099</v>
      </c>
      <c r="E336">
        <v>828</v>
      </c>
      <c r="F336">
        <v>47</v>
      </c>
      <c r="G336">
        <v>42</v>
      </c>
      <c r="H336">
        <v>38</v>
      </c>
      <c r="I336">
        <v>42</v>
      </c>
      <c r="J336">
        <v>27</v>
      </c>
      <c r="K336">
        <v>48</v>
      </c>
      <c r="L336">
        <v>35</v>
      </c>
      <c r="M336">
        <v>15</v>
      </c>
      <c r="N336">
        <v>16</v>
      </c>
      <c r="O336">
        <v>3</v>
      </c>
      <c r="P336">
        <v>38</v>
      </c>
      <c r="Q336">
        <v>27</v>
      </c>
      <c r="R336">
        <v>36</v>
      </c>
      <c r="S336">
        <v>8</v>
      </c>
      <c r="T336">
        <v>5</v>
      </c>
      <c r="U336">
        <v>8</v>
      </c>
      <c r="V336">
        <v>4</v>
      </c>
      <c r="W336">
        <v>34</v>
      </c>
      <c r="X336">
        <v>19</v>
      </c>
      <c r="Y336">
        <v>23</v>
      </c>
      <c r="Z336">
        <v>9</v>
      </c>
      <c r="AA336">
        <v>49</v>
      </c>
      <c r="AB336">
        <v>46</v>
      </c>
      <c r="AC336">
        <v>21</v>
      </c>
      <c r="AD336">
        <v>23</v>
      </c>
      <c r="AE336">
        <v>48</v>
      </c>
      <c r="AF336">
        <v>22</v>
      </c>
      <c r="AG336">
        <v>23</v>
      </c>
      <c r="AH336">
        <v>38</v>
      </c>
      <c r="AI336">
        <v>22</v>
      </c>
      <c r="AJ336">
        <v>35</v>
      </c>
      <c r="AK336">
        <v>11</v>
      </c>
      <c r="AL336">
        <v>8</v>
      </c>
      <c r="AM336">
        <v>45</v>
      </c>
      <c r="AN336">
        <v>37</v>
      </c>
      <c r="AO336">
        <v>46</v>
      </c>
      <c r="AP336">
        <v>31</v>
      </c>
      <c r="AQ336">
        <v>37</v>
      </c>
      <c r="AR336">
        <v>11</v>
      </c>
      <c r="AS336">
        <v>1</v>
      </c>
      <c r="AT336">
        <v>5</v>
      </c>
      <c r="AU336">
        <v>0</v>
      </c>
      <c r="AV336">
        <v>6</v>
      </c>
      <c r="AW336">
        <v>15</v>
      </c>
      <c r="AX336">
        <v>37</v>
      </c>
      <c r="AY336">
        <v>6</v>
      </c>
      <c r="AZ336">
        <v>9</v>
      </c>
      <c r="BA336">
        <v>40</v>
      </c>
      <c r="BB336">
        <v>19</v>
      </c>
      <c r="BC336">
        <v>11</v>
      </c>
      <c r="BD336">
        <v>41</v>
      </c>
      <c r="BE336">
        <v>18</v>
      </c>
      <c r="BF336">
        <v>212928</v>
      </c>
      <c r="BG336">
        <v>7826</v>
      </c>
    </row>
    <row r="337" spans="1:59" x14ac:dyDescent="0.3">
      <c r="A337" s="3">
        <v>45627</v>
      </c>
      <c r="B337" t="s">
        <v>71</v>
      </c>
      <c r="C337">
        <v>12</v>
      </c>
      <c r="D337">
        <v>1100</v>
      </c>
      <c r="E337">
        <v>829</v>
      </c>
      <c r="F337">
        <v>11</v>
      </c>
      <c r="G337">
        <v>33</v>
      </c>
      <c r="H337">
        <v>48</v>
      </c>
      <c r="I337">
        <v>18</v>
      </c>
      <c r="J337">
        <v>20</v>
      </c>
      <c r="K337">
        <v>45</v>
      </c>
      <c r="L337">
        <v>2</v>
      </c>
      <c r="M337">
        <v>18</v>
      </c>
      <c r="N337">
        <v>49</v>
      </c>
      <c r="O337">
        <v>1</v>
      </c>
      <c r="P337">
        <v>10</v>
      </c>
      <c r="Q337">
        <v>24</v>
      </c>
      <c r="R337">
        <v>32</v>
      </c>
      <c r="S337">
        <v>21</v>
      </c>
      <c r="T337">
        <v>36</v>
      </c>
      <c r="U337">
        <v>12</v>
      </c>
      <c r="V337">
        <v>13</v>
      </c>
      <c r="W337">
        <v>15</v>
      </c>
      <c r="X337">
        <v>1</v>
      </c>
      <c r="Y337">
        <v>7</v>
      </c>
      <c r="Z337">
        <v>38</v>
      </c>
      <c r="AA337">
        <v>13</v>
      </c>
      <c r="AB337">
        <v>3</v>
      </c>
      <c r="AC337">
        <v>0</v>
      </c>
      <c r="AD337">
        <v>47</v>
      </c>
      <c r="AE337">
        <v>46</v>
      </c>
      <c r="AF337">
        <v>10</v>
      </c>
      <c r="AG337">
        <v>43</v>
      </c>
      <c r="AH337">
        <v>9</v>
      </c>
      <c r="AI337">
        <v>10</v>
      </c>
      <c r="AJ337">
        <v>11</v>
      </c>
      <c r="AK337">
        <v>34</v>
      </c>
      <c r="AL337">
        <v>11</v>
      </c>
      <c r="AM337">
        <v>15</v>
      </c>
      <c r="AN337">
        <v>6</v>
      </c>
      <c r="AO337">
        <v>11</v>
      </c>
      <c r="AP337">
        <v>38</v>
      </c>
      <c r="AQ337">
        <v>5</v>
      </c>
      <c r="AR337">
        <v>33</v>
      </c>
      <c r="AS337">
        <v>41</v>
      </c>
      <c r="AT337">
        <v>6</v>
      </c>
      <c r="AU337">
        <v>21</v>
      </c>
      <c r="AV337">
        <v>10</v>
      </c>
      <c r="AW337">
        <v>13</v>
      </c>
      <c r="AX337">
        <v>14</v>
      </c>
      <c r="AY337">
        <v>10</v>
      </c>
      <c r="AZ337">
        <v>15</v>
      </c>
      <c r="BA337">
        <v>12</v>
      </c>
      <c r="BB337">
        <v>13</v>
      </c>
      <c r="BC337">
        <v>20</v>
      </c>
      <c r="BD337">
        <v>28</v>
      </c>
      <c r="BE337">
        <v>18</v>
      </c>
      <c r="BF337">
        <v>213479</v>
      </c>
      <c r="BG337">
        <v>7838</v>
      </c>
    </row>
    <row r="338" spans="1:59" x14ac:dyDescent="0.3">
      <c r="A338" s="3">
        <v>45628</v>
      </c>
      <c r="B338" t="s">
        <v>71</v>
      </c>
      <c r="C338">
        <v>12</v>
      </c>
      <c r="D338">
        <v>1102</v>
      </c>
      <c r="E338">
        <v>830</v>
      </c>
      <c r="F338">
        <v>37</v>
      </c>
      <c r="G338">
        <v>45</v>
      </c>
      <c r="H338">
        <v>33</v>
      </c>
      <c r="I338">
        <v>0</v>
      </c>
      <c r="J338">
        <v>20</v>
      </c>
      <c r="K338">
        <v>37</v>
      </c>
      <c r="L338">
        <v>12</v>
      </c>
      <c r="M338">
        <v>32</v>
      </c>
      <c r="N338">
        <v>32</v>
      </c>
      <c r="O338">
        <v>12</v>
      </c>
      <c r="P338">
        <v>3</v>
      </c>
      <c r="Q338">
        <v>17</v>
      </c>
      <c r="R338">
        <v>29</v>
      </c>
      <c r="S338">
        <v>44</v>
      </c>
      <c r="T338">
        <v>43</v>
      </c>
      <c r="U338">
        <v>3</v>
      </c>
      <c r="V338">
        <v>17</v>
      </c>
      <c r="W338">
        <v>32</v>
      </c>
      <c r="X338">
        <v>6</v>
      </c>
      <c r="Y338">
        <v>22</v>
      </c>
      <c r="Z338">
        <v>41</v>
      </c>
      <c r="AA338">
        <v>46</v>
      </c>
      <c r="AB338">
        <v>18</v>
      </c>
      <c r="AC338">
        <v>20</v>
      </c>
      <c r="AD338">
        <v>17</v>
      </c>
      <c r="AE338">
        <v>24</v>
      </c>
      <c r="AF338">
        <v>37</v>
      </c>
      <c r="AG338">
        <v>10</v>
      </c>
      <c r="AH338">
        <v>35</v>
      </c>
      <c r="AI338">
        <v>38</v>
      </c>
      <c r="AJ338">
        <v>27</v>
      </c>
      <c r="AK338">
        <v>23</v>
      </c>
      <c r="AL338">
        <v>45</v>
      </c>
      <c r="AM338">
        <v>35</v>
      </c>
      <c r="AN338">
        <v>47</v>
      </c>
      <c r="AO338">
        <v>37</v>
      </c>
      <c r="AP338">
        <v>15</v>
      </c>
      <c r="AQ338">
        <v>27</v>
      </c>
      <c r="AR338">
        <v>46</v>
      </c>
      <c r="AS338">
        <v>45</v>
      </c>
      <c r="AT338">
        <v>26</v>
      </c>
      <c r="AU338">
        <v>11</v>
      </c>
      <c r="AV338">
        <v>19</v>
      </c>
      <c r="AW338">
        <v>4</v>
      </c>
      <c r="AX338">
        <v>34</v>
      </c>
      <c r="AY338">
        <v>38</v>
      </c>
      <c r="AZ338">
        <v>12</v>
      </c>
      <c r="BA338">
        <v>24</v>
      </c>
      <c r="BB338">
        <v>0</v>
      </c>
      <c r="BC338">
        <v>36</v>
      </c>
      <c r="BD338">
        <v>30</v>
      </c>
      <c r="BE338">
        <v>25</v>
      </c>
      <c r="BF338">
        <v>214030</v>
      </c>
      <c r="BG338">
        <v>7850</v>
      </c>
    </row>
    <row r="339" spans="1:59" x14ac:dyDescent="0.3">
      <c r="A339" s="3">
        <v>45629</v>
      </c>
      <c r="B339" t="s">
        <v>71</v>
      </c>
      <c r="C339">
        <v>12</v>
      </c>
      <c r="D339">
        <v>1103</v>
      </c>
      <c r="E339">
        <v>830</v>
      </c>
      <c r="F339">
        <v>40</v>
      </c>
      <c r="G339">
        <v>29</v>
      </c>
      <c r="H339">
        <v>11</v>
      </c>
      <c r="I339">
        <v>1</v>
      </c>
      <c r="J339">
        <v>32</v>
      </c>
      <c r="K339">
        <v>45</v>
      </c>
      <c r="L339">
        <v>48</v>
      </c>
      <c r="M339">
        <v>31</v>
      </c>
      <c r="N339">
        <v>12</v>
      </c>
      <c r="O339">
        <v>6</v>
      </c>
      <c r="P339">
        <v>0</v>
      </c>
      <c r="Q339">
        <v>19</v>
      </c>
      <c r="R339">
        <v>41</v>
      </c>
      <c r="S339">
        <v>49</v>
      </c>
      <c r="T339">
        <v>5</v>
      </c>
      <c r="U339">
        <v>26</v>
      </c>
      <c r="V339">
        <v>31</v>
      </c>
      <c r="W339">
        <v>2</v>
      </c>
      <c r="X339">
        <v>40</v>
      </c>
      <c r="Y339">
        <v>28</v>
      </c>
      <c r="Z339">
        <v>30</v>
      </c>
      <c r="AA339">
        <v>32</v>
      </c>
      <c r="AB339">
        <v>43</v>
      </c>
      <c r="AC339">
        <v>38</v>
      </c>
      <c r="AD339">
        <v>32</v>
      </c>
      <c r="AE339">
        <v>21</v>
      </c>
      <c r="AF339">
        <v>15</v>
      </c>
      <c r="AG339">
        <v>22</v>
      </c>
      <c r="AH339">
        <v>20</v>
      </c>
      <c r="AI339">
        <v>5</v>
      </c>
      <c r="AJ339">
        <v>48</v>
      </c>
      <c r="AK339">
        <v>18</v>
      </c>
      <c r="AL339">
        <v>15</v>
      </c>
      <c r="AM339">
        <v>3</v>
      </c>
      <c r="AN339">
        <v>8</v>
      </c>
      <c r="AO339">
        <v>0</v>
      </c>
      <c r="AP339">
        <v>24</v>
      </c>
      <c r="AQ339">
        <v>32</v>
      </c>
      <c r="AR339">
        <v>44</v>
      </c>
      <c r="AS339">
        <v>49</v>
      </c>
      <c r="AT339">
        <v>18</v>
      </c>
      <c r="AU339">
        <v>24</v>
      </c>
      <c r="AV339">
        <v>37</v>
      </c>
      <c r="AW339">
        <v>2</v>
      </c>
      <c r="AX339">
        <v>19</v>
      </c>
      <c r="AY339">
        <v>40</v>
      </c>
      <c r="AZ339">
        <v>24</v>
      </c>
      <c r="BA339">
        <v>37</v>
      </c>
      <c r="BB339">
        <v>23</v>
      </c>
      <c r="BC339">
        <v>17</v>
      </c>
      <c r="BD339">
        <v>48</v>
      </c>
      <c r="BE339">
        <v>29</v>
      </c>
      <c r="BF339">
        <v>214580</v>
      </c>
      <c r="BG339">
        <v>7862</v>
      </c>
    </row>
    <row r="340" spans="1:59" x14ac:dyDescent="0.3">
      <c r="A340" s="3">
        <v>45630</v>
      </c>
      <c r="B340" t="s">
        <v>71</v>
      </c>
      <c r="C340">
        <v>12</v>
      </c>
      <c r="D340">
        <v>1105</v>
      </c>
      <c r="E340">
        <v>831</v>
      </c>
      <c r="F340">
        <v>26</v>
      </c>
      <c r="G340">
        <v>28</v>
      </c>
      <c r="H340">
        <v>5</v>
      </c>
      <c r="I340">
        <v>24</v>
      </c>
      <c r="J340">
        <v>42</v>
      </c>
      <c r="K340">
        <v>22</v>
      </c>
      <c r="L340">
        <v>10</v>
      </c>
      <c r="M340">
        <v>37</v>
      </c>
      <c r="N340">
        <v>39</v>
      </c>
      <c r="O340">
        <v>14</v>
      </c>
      <c r="P340">
        <v>9</v>
      </c>
      <c r="Q340">
        <v>34</v>
      </c>
      <c r="R340">
        <v>16</v>
      </c>
      <c r="S340">
        <v>48</v>
      </c>
      <c r="T340">
        <v>11</v>
      </c>
      <c r="U340">
        <v>22</v>
      </c>
      <c r="V340">
        <v>49</v>
      </c>
      <c r="W340">
        <v>23</v>
      </c>
      <c r="X340">
        <v>2</v>
      </c>
      <c r="Y340">
        <v>24</v>
      </c>
      <c r="Z340">
        <v>29</v>
      </c>
      <c r="AA340">
        <v>37</v>
      </c>
      <c r="AB340">
        <v>29</v>
      </c>
      <c r="AC340">
        <v>19</v>
      </c>
      <c r="AD340">
        <v>46</v>
      </c>
      <c r="AE340">
        <v>39</v>
      </c>
      <c r="AF340">
        <v>31</v>
      </c>
      <c r="AG340">
        <v>3</v>
      </c>
      <c r="AH340">
        <v>30</v>
      </c>
      <c r="AI340">
        <v>39</v>
      </c>
      <c r="AJ340">
        <v>15</v>
      </c>
      <c r="AK340">
        <v>26</v>
      </c>
      <c r="AL340">
        <v>21</v>
      </c>
      <c r="AM340">
        <v>19</v>
      </c>
      <c r="AN340">
        <v>17</v>
      </c>
      <c r="AO340">
        <v>22</v>
      </c>
      <c r="AP340">
        <v>36</v>
      </c>
      <c r="AQ340">
        <v>27</v>
      </c>
      <c r="AR340">
        <v>24</v>
      </c>
      <c r="AS340">
        <v>24</v>
      </c>
      <c r="AT340">
        <v>47</v>
      </c>
      <c r="AU340">
        <v>1</v>
      </c>
      <c r="AV340">
        <v>2</v>
      </c>
      <c r="AW340">
        <v>27</v>
      </c>
      <c r="AX340">
        <v>25</v>
      </c>
      <c r="AY340">
        <v>0</v>
      </c>
      <c r="AZ340">
        <v>36</v>
      </c>
      <c r="BA340">
        <v>10</v>
      </c>
      <c r="BB340">
        <v>5</v>
      </c>
      <c r="BC340">
        <v>34</v>
      </c>
      <c r="BD340">
        <v>5</v>
      </c>
      <c r="BE340">
        <v>29</v>
      </c>
      <c r="BF340">
        <v>215131</v>
      </c>
      <c r="BG340">
        <v>7874</v>
      </c>
    </row>
    <row r="341" spans="1:59" x14ac:dyDescent="0.3">
      <c r="A341" s="3">
        <v>45631</v>
      </c>
      <c r="B341" t="s">
        <v>71</v>
      </c>
      <c r="C341">
        <v>12</v>
      </c>
      <c r="D341">
        <v>1107</v>
      </c>
      <c r="E341">
        <v>832</v>
      </c>
      <c r="F341">
        <v>30</v>
      </c>
      <c r="G341">
        <v>44</v>
      </c>
      <c r="H341">
        <v>11</v>
      </c>
      <c r="I341">
        <v>6</v>
      </c>
      <c r="J341">
        <v>17</v>
      </c>
      <c r="K341">
        <v>1</v>
      </c>
      <c r="L341">
        <v>37</v>
      </c>
      <c r="M341">
        <v>9</v>
      </c>
      <c r="N341">
        <v>25</v>
      </c>
      <c r="O341">
        <v>11</v>
      </c>
      <c r="P341">
        <v>30</v>
      </c>
      <c r="Q341">
        <v>6</v>
      </c>
      <c r="R341">
        <v>48</v>
      </c>
      <c r="S341">
        <v>31</v>
      </c>
      <c r="T341">
        <v>13</v>
      </c>
      <c r="U341">
        <v>17</v>
      </c>
      <c r="V341">
        <v>27</v>
      </c>
      <c r="W341">
        <v>14</v>
      </c>
      <c r="X341">
        <v>48</v>
      </c>
      <c r="Y341">
        <v>16</v>
      </c>
      <c r="Z341">
        <v>12</v>
      </c>
      <c r="AA341">
        <v>16</v>
      </c>
      <c r="AB341">
        <v>30</v>
      </c>
      <c r="AC341">
        <v>27</v>
      </c>
      <c r="AD341">
        <v>0</v>
      </c>
      <c r="AE341">
        <v>10</v>
      </c>
      <c r="AF341">
        <v>32</v>
      </c>
      <c r="AG341">
        <v>11</v>
      </c>
      <c r="AH341">
        <v>44</v>
      </c>
      <c r="AI341">
        <v>42</v>
      </c>
      <c r="AJ341">
        <v>10</v>
      </c>
      <c r="AK341">
        <v>4</v>
      </c>
      <c r="AL341">
        <v>48</v>
      </c>
      <c r="AM341">
        <v>24</v>
      </c>
      <c r="AN341">
        <v>29</v>
      </c>
      <c r="AO341">
        <v>41</v>
      </c>
      <c r="AP341">
        <v>38</v>
      </c>
      <c r="AQ341">
        <v>15</v>
      </c>
      <c r="AR341">
        <v>4</v>
      </c>
      <c r="AS341">
        <v>35</v>
      </c>
      <c r="AT341">
        <v>31</v>
      </c>
      <c r="AU341">
        <v>30</v>
      </c>
      <c r="AV341">
        <v>29</v>
      </c>
      <c r="AW341">
        <v>1</v>
      </c>
      <c r="AX341">
        <v>39</v>
      </c>
      <c r="AY341">
        <v>22</v>
      </c>
      <c r="AZ341">
        <v>24</v>
      </c>
      <c r="BA341">
        <v>14</v>
      </c>
      <c r="BB341">
        <v>26</v>
      </c>
      <c r="BC341">
        <v>22</v>
      </c>
      <c r="BD341">
        <v>36</v>
      </c>
      <c r="BE341">
        <v>48</v>
      </c>
      <c r="BF341">
        <v>215682</v>
      </c>
      <c r="BG341">
        <v>7886</v>
      </c>
    </row>
    <row r="342" spans="1:59" x14ac:dyDescent="0.3">
      <c r="A342" s="3">
        <v>45632</v>
      </c>
      <c r="B342" t="s">
        <v>71</v>
      </c>
      <c r="C342">
        <v>12</v>
      </c>
      <c r="D342">
        <v>1108</v>
      </c>
      <c r="E342">
        <v>832</v>
      </c>
      <c r="F342">
        <v>12</v>
      </c>
      <c r="G342">
        <v>33</v>
      </c>
      <c r="H342">
        <v>17</v>
      </c>
      <c r="I342">
        <v>29</v>
      </c>
      <c r="J342">
        <v>19</v>
      </c>
      <c r="K342">
        <v>44</v>
      </c>
      <c r="L342">
        <v>27</v>
      </c>
      <c r="M342">
        <v>39</v>
      </c>
      <c r="N342">
        <v>43</v>
      </c>
      <c r="O342">
        <v>37</v>
      </c>
      <c r="P342">
        <v>6</v>
      </c>
      <c r="Q342">
        <v>45</v>
      </c>
      <c r="R342">
        <v>24</v>
      </c>
      <c r="S342">
        <v>23</v>
      </c>
      <c r="T342">
        <v>48</v>
      </c>
      <c r="U342">
        <v>14</v>
      </c>
      <c r="V342">
        <v>39</v>
      </c>
      <c r="W342">
        <v>0</v>
      </c>
      <c r="X342">
        <v>6</v>
      </c>
      <c r="Y342">
        <v>13</v>
      </c>
      <c r="Z342">
        <v>15</v>
      </c>
      <c r="AA342">
        <v>34</v>
      </c>
      <c r="AB342">
        <v>34</v>
      </c>
      <c r="AC342">
        <v>9</v>
      </c>
      <c r="AD342">
        <v>3</v>
      </c>
      <c r="AE342">
        <v>2</v>
      </c>
      <c r="AF342">
        <v>15</v>
      </c>
      <c r="AG342">
        <v>30</v>
      </c>
      <c r="AH342">
        <v>38</v>
      </c>
      <c r="AI342">
        <v>27</v>
      </c>
      <c r="AJ342">
        <v>36</v>
      </c>
      <c r="AK342">
        <v>21</v>
      </c>
      <c r="AL342">
        <v>38</v>
      </c>
      <c r="AM342">
        <v>39</v>
      </c>
      <c r="AN342">
        <v>44</v>
      </c>
      <c r="AO342">
        <v>5</v>
      </c>
      <c r="AP342">
        <v>44</v>
      </c>
      <c r="AQ342">
        <v>33</v>
      </c>
      <c r="AR342">
        <v>18</v>
      </c>
      <c r="AS342">
        <v>22</v>
      </c>
      <c r="AT342">
        <v>23</v>
      </c>
      <c r="AU342">
        <v>21</v>
      </c>
      <c r="AV342">
        <v>37</v>
      </c>
      <c r="AW342">
        <v>48</v>
      </c>
      <c r="AX342">
        <v>6</v>
      </c>
      <c r="AY342">
        <v>39</v>
      </c>
      <c r="AZ342">
        <v>9</v>
      </c>
      <c r="BA342">
        <v>47</v>
      </c>
      <c r="BB342">
        <v>18</v>
      </c>
      <c r="BC342">
        <v>17</v>
      </c>
      <c r="BD342">
        <v>27</v>
      </c>
      <c r="BE342">
        <v>8</v>
      </c>
      <c r="BF342">
        <v>216232</v>
      </c>
      <c r="BG342">
        <v>7898</v>
      </c>
    </row>
    <row r="343" spans="1:59" x14ac:dyDescent="0.3">
      <c r="A343" s="3">
        <v>45633</v>
      </c>
      <c r="B343" t="s">
        <v>71</v>
      </c>
      <c r="C343">
        <v>12</v>
      </c>
      <c r="D343">
        <v>1110</v>
      </c>
      <c r="E343">
        <v>833</v>
      </c>
      <c r="F343">
        <v>0</v>
      </c>
      <c r="G343">
        <v>41</v>
      </c>
      <c r="H343">
        <v>37</v>
      </c>
      <c r="I343">
        <v>47</v>
      </c>
      <c r="J343">
        <v>48</v>
      </c>
      <c r="K343">
        <v>18</v>
      </c>
      <c r="L343">
        <v>42</v>
      </c>
      <c r="M343">
        <v>33</v>
      </c>
      <c r="N343">
        <v>5</v>
      </c>
      <c r="O343">
        <v>1</v>
      </c>
      <c r="P343">
        <v>18</v>
      </c>
      <c r="Q343">
        <v>41</v>
      </c>
      <c r="R343">
        <v>1</v>
      </c>
      <c r="S343">
        <v>49</v>
      </c>
      <c r="T343">
        <v>46</v>
      </c>
      <c r="U343">
        <v>16</v>
      </c>
      <c r="V343">
        <v>35</v>
      </c>
      <c r="W343">
        <v>12</v>
      </c>
      <c r="X343">
        <v>28</v>
      </c>
      <c r="Y343">
        <v>12</v>
      </c>
      <c r="Z343">
        <v>0</v>
      </c>
      <c r="AA343">
        <v>21</v>
      </c>
      <c r="AB343">
        <v>35</v>
      </c>
      <c r="AC343">
        <v>42</v>
      </c>
      <c r="AD343">
        <v>47</v>
      </c>
      <c r="AE343">
        <v>34</v>
      </c>
      <c r="AF343">
        <v>17</v>
      </c>
      <c r="AG343">
        <v>29</v>
      </c>
      <c r="AH343">
        <v>13</v>
      </c>
      <c r="AI343">
        <v>8</v>
      </c>
      <c r="AJ343">
        <v>22</v>
      </c>
      <c r="AK343">
        <v>36</v>
      </c>
      <c r="AL343">
        <v>19</v>
      </c>
      <c r="AM343">
        <v>34</v>
      </c>
      <c r="AN343">
        <v>18</v>
      </c>
      <c r="AO343">
        <v>24</v>
      </c>
      <c r="AP343">
        <v>11</v>
      </c>
      <c r="AQ343">
        <v>46</v>
      </c>
      <c r="AR343">
        <v>18</v>
      </c>
      <c r="AS343">
        <v>9</v>
      </c>
      <c r="AT343">
        <v>29</v>
      </c>
      <c r="AU343">
        <v>15</v>
      </c>
      <c r="AV343">
        <v>39</v>
      </c>
      <c r="AW343">
        <v>0</v>
      </c>
      <c r="AX343">
        <v>3</v>
      </c>
      <c r="AY343">
        <v>33</v>
      </c>
      <c r="AZ343">
        <v>4</v>
      </c>
      <c r="BA343">
        <v>0</v>
      </c>
      <c r="BB343">
        <v>27</v>
      </c>
      <c r="BC343">
        <v>46</v>
      </c>
      <c r="BD343">
        <v>46</v>
      </c>
      <c r="BE343">
        <v>48</v>
      </c>
      <c r="BF343">
        <v>216783</v>
      </c>
      <c r="BG343">
        <v>7910</v>
      </c>
    </row>
    <row r="344" spans="1:59" x14ac:dyDescent="0.3">
      <c r="A344" s="3">
        <v>45634</v>
      </c>
      <c r="B344" t="s">
        <v>71</v>
      </c>
      <c r="C344">
        <v>12</v>
      </c>
      <c r="D344">
        <v>1112</v>
      </c>
      <c r="E344">
        <v>834</v>
      </c>
      <c r="F344">
        <v>18</v>
      </c>
      <c r="G344">
        <v>25</v>
      </c>
      <c r="H344">
        <v>48</v>
      </c>
      <c r="I344">
        <v>11</v>
      </c>
      <c r="J344">
        <v>36</v>
      </c>
      <c r="K344">
        <v>35</v>
      </c>
      <c r="L344">
        <v>23</v>
      </c>
      <c r="M344">
        <v>28</v>
      </c>
      <c r="N344">
        <v>44</v>
      </c>
      <c r="O344">
        <v>16</v>
      </c>
      <c r="P344">
        <v>2</v>
      </c>
      <c r="Q344">
        <v>27</v>
      </c>
      <c r="R344">
        <v>31</v>
      </c>
      <c r="S344">
        <v>44</v>
      </c>
      <c r="T344">
        <v>38</v>
      </c>
      <c r="U344">
        <v>3</v>
      </c>
      <c r="V344">
        <v>7</v>
      </c>
      <c r="W344">
        <v>10</v>
      </c>
      <c r="X344">
        <v>31</v>
      </c>
      <c r="Y344">
        <v>32</v>
      </c>
      <c r="Z344">
        <v>43</v>
      </c>
      <c r="AA344">
        <v>39</v>
      </c>
      <c r="AB344">
        <v>31</v>
      </c>
      <c r="AC344">
        <v>1</v>
      </c>
      <c r="AD344">
        <v>45</v>
      </c>
      <c r="AE344">
        <v>18</v>
      </c>
      <c r="AF344">
        <v>0</v>
      </c>
      <c r="AG344">
        <v>3</v>
      </c>
      <c r="AH344">
        <v>43</v>
      </c>
      <c r="AI344">
        <v>6</v>
      </c>
      <c r="AJ344">
        <v>41</v>
      </c>
      <c r="AK344">
        <v>28</v>
      </c>
      <c r="AL344">
        <v>33</v>
      </c>
      <c r="AM344">
        <v>39</v>
      </c>
      <c r="AN344">
        <v>34</v>
      </c>
      <c r="AO344">
        <v>35</v>
      </c>
      <c r="AP344">
        <v>31</v>
      </c>
      <c r="AQ344">
        <v>12</v>
      </c>
      <c r="AR344">
        <v>25</v>
      </c>
      <c r="AS344">
        <v>40</v>
      </c>
      <c r="AT344">
        <v>17</v>
      </c>
      <c r="AU344">
        <v>20</v>
      </c>
      <c r="AV344">
        <v>20</v>
      </c>
      <c r="AW344">
        <v>38</v>
      </c>
      <c r="AX344">
        <v>46</v>
      </c>
      <c r="AY344">
        <v>12</v>
      </c>
      <c r="AZ344">
        <v>5</v>
      </c>
      <c r="BA344">
        <v>18</v>
      </c>
      <c r="BB344">
        <v>47</v>
      </c>
      <c r="BC344">
        <v>27</v>
      </c>
      <c r="BD344">
        <v>13</v>
      </c>
      <c r="BE344">
        <v>31</v>
      </c>
      <c r="BF344">
        <v>217334</v>
      </c>
      <c r="BG344">
        <v>7922</v>
      </c>
    </row>
    <row r="345" spans="1:59" x14ac:dyDescent="0.3">
      <c r="A345" s="3">
        <v>45635</v>
      </c>
      <c r="B345" t="s">
        <v>71</v>
      </c>
      <c r="C345">
        <v>12</v>
      </c>
      <c r="D345">
        <v>1113</v>
      </c>
      <c r="E345">
        <v>834</v>
      </c>
      <c r="F345">
        <v>22</v>
      </c>
      <c r="G345">
        <v>4</v>
      </c>
      <c r="H345">
        <v>30</v>
      </c>
      <c r="I345">
        <v>32</v>
      </c>
      <c r="J345">
        <v>11</v>
      </c>
      <c r="K345">
        <v>34</v>
      </c>
      <c r="L345">
        <v>24</v>
      </c>
      <c r="M345">
        <v>15</v>
      </c>
      <c r="N345">
        <v>19</v>
      </c>
      <c r="O345">
        <v>8</v>
      </c>
      <c r="P345">
        <v>48</v>
      </c>
      <c r="Q345">
        <v>39</v>
      </c>
      <c r="R345">
        <v>31</v>
      </c>
      <c r="S345">
        <v>13</v>
      </c>
      <c r="T345">
        <v>43</v>
      </c>
      <c r="U345">
        <v>20</v>
      </c>
      <c r="V345">
        <v>21</v>
      </c>
      <c r="W345">
        <v>43</v>
      </c>
      <c r="X345">
        <v>4</v>
      </c>
      <c r="Y345">
        <v>48</v>
      </c>
      <c r="Z345">
        <v>23</v>
      </c>
      <c r="AA345">
        <v>34</v>
      </c>
      <c r="AB345">
        <v>2</v>
      </c>
      <c r="AC345">
        <v>35</v>
      </c>
      <c r="AD345">
        <v>34</v>
      </c>
      <c r="AE345">
        <v>21</v>
      </c>
      <c r="AF345">
        <v>17</v>
      </c>
      <c r="AG345">
        <v>16</v>
      </c>
      <c r="AH345">
        <v>34</v>
      </c>
      <c r="AI345">
        <v>15</v>
      </c>
      <c r="AJ345">
        <v>4</v>
      </c>
      <c r="AK345">
        <v>37</v>
      </c>
      <c r="AL345">
        <v>12</v>
      </c>
      <c r="AM345">
        <v>11</v>
      </c>
      <c r="AN345">
        <v>14</v>
      </c>
      <c r="AO345">
        <v>15</v>
      </c>
      <c r="AP345">
        <v>43</v>
      </c>
      <c r="AQ345">
        <v>48</v>
      </c>
      <c r="AR345">
        <v>19</v>
      </c>
      <c r="AS345">
        <v>32</v>
      </c>
      <c r="AT345">
        <v>25</v>
      </c>
      <c r="AU345">
        <v>16</v>
      </c>
      <c r="AV345">
        <v>45</v>
      </c>
      <c r="AW345">
        <v>34</v>
      </c>
      <c r="AX345">
        <v>7</v>
      </c>
      <c r="AY345">
        <v>17</v>
      </c>
      <c r="AZ345">
        <v>20</v>
      </c>
      <c r="BA345">
        <v>17</v>
      </c>
      <c r="BB345">
        <v>36</v>
      </c>
      <c r="BC345">
        <v>46</v>
      </c>
      <c r="BD345">
        <v>37</v>
      </c>
      <c r="BE345">
        <v>26</v>
      </c>
      <c r="BF345">
        <v>217884</v>
      </c>
      <c r="BG345">
        <v>7934</v>
      </c>
    </row>
    <row r="346" spans="1:59" x14ac:dyDescent="0.3">
      <c r="A346" s="3">
        <v>45636</v>
      </c>
      <c r="B346" t="s">
        <v>71</v>
      </c>
      <c r="C346">
        <v>12</v>
      </c>
      <c r="D346">
        <v>1115</v>
      </c>
      <c r="E346">
        <v>835</v>
      </c>
      <c r="F346">
        <v>10</v>
      </c>
      <c r="G346">
        <v>41</v>
      </c>
      <c r="H346">
        <v>21</v>
      </c>
      <c r="I346">
        <v>22</v>
      </c>
      <c r="J346">
        <v>44</v>
      </c>
      <c r="K346">
        <v>32</v>
      </c>
      <c r="L346">
        <v>46</v>
      </c>
      <c r="M346">
        <v>29</v>
      </c>
      <c r="N346">
        <v>2</v>
      </c>
      <c r="O346">
        <v>24</v>
      </c>
      <c r="P346">
        <v>0</v>
      </c>
      <c r="Q346">
        <v>47</v>
      </c>
      <c r="R346">
        <v>35</v>
      </c>
      <c r="S346">
        <v>11</v>
      </c>
      <c r="T346">
        <v>26</v>
      </c>
      <c r="U346">
        <v>11</v>
      </c>
      <c r="V346">
        <v>16</v>
      </c>
      <c r="W346">
        <v>0</v>
      </c>
      <c r="X346">
        <v>20</v>
      </c>
      <c r="Y346">
        <v>33</v>
      </c>
      <c r="Z346">
        <v>15</v>
      </c>
      <c r="AA346">
        <v>2</v>
      </c>
      <c r="AB346">
        <v>26</v>
      </c>
      <c r="AC346">
        <v>34</v>
      </c>
      <c r="AD346">
        <v>0</v>
      </c>
      <c r="AE346">
        <v>17</v>
      </c>
      <c r="AF346">
        <v>46</v>
      </c>
      <c r="AG346">
        <v>10</v>
      </c>
      <c r="AH346">
        <v>37</v>
      </c>
      <c r="AI346">
        <v>22</v>
      </c>
      <c r="AJ346">
        <v>16</v>
      </c>
      <c r="AK346">
        <v>45</v>
      </c>
      <c r="AL346">
        <v>31</v>
      </c>
      <c r="AM346">
        <v>13</v>
      </c>
      <c r="AN346">
        <v>6</v>
      </c>
      <c r="AO346">
        <v>35</v>
      </c>
      <c r="AP346">
        <v>31</v>
      </c>
      <c r="AQ346">
        <v>44</v>
      </c>
      <c r="AR346">
        <v>7</v>
      </c>
      <c r="AS346">
        <v>22</v>
      </c>
      <c r="AT346">
        <v>13</v>
      </c>
      <c r="AU346">
        <v>29</v>
      </c>
      <c r="AV346">
        <v>40</v>
      </c>
      <c r="AW346">
        <v>35</v>
      </c>
      <c r="AX346">
        <v>10</v>
      </c>
      <c r="AY346">
        <v>39</v>
      </c>
      <c r="AZ346">
        <v>45</v>
      </c>
      <c r="BA346">
        <v>15</v>
      </c>
      <c r="BB346">
        <v>10</v>
      </c>
      <c r="BC346">
        <v>26</v>
      </c>
      <c r="BD346">
        <v>39</v>
      </c>
      <c r="BE346">
        <v>18</v>
      </c>
      <c r="BF346">
        <v>218435</v>
      </c>
      <c r="BG346">
        <v>7946</v>
      </c>
    </row>
    <row r="347" spans="1:59" x14ac:dyDescent="0.3">
      <c r="A347" s="3">
        <v>45637</v>
      </c>
      <c r="B347" t="s">
        <v>71</v>
      </c>
      <c r="C347">
        <v>12</v>
      </c>
      <c r="D347">
        <v>1117</v>
      </c>
      <c r="E347">
        <v>836</v>
      </c>
      <c r="F347">
        <v>15</v>
      </c>
      <c r="G347">
        <v>26</v>
      </c>
      <c r="H347">
        <v>6</v>
      </c>
      <c r="I347">
        <v>12</v>
      </c>
      <c r="J347">
        <v>22</v>
      </c>
      <c r="K347">
        <v>46</v>
      </c>
      <c r="L347">
        <v>0</v>
      </c>
      <c r="M347">
        <v>8</v>
      </c>
      <c r="N347">
        <v>33</v>
      </c>
      <c r="O347">
        <v>15</v>
      </c>
      <c r="P347">
        <v>24</v>
      </c>
      <c r="Q347">
        <v>32</v>
      </c>
      <c r="R347">
        <v>36</v>
      </c>
      <c r="S347">
        <v>16</v>
      </c>
      <c r="T347">
        <v>2</v>
      </c>
      <c r="U347">
        <v>7</v>
      </c>
      <c r="V347">
        <v>21</v>
      </c>
      <c r="W347">
        <v>41</v>
      </c>
      <c r="X347">
        <v>42</v>
      </c>
      <c r="Y347">
        <v>24</v>
      </c>
      <c r="Z347">
        <v>6</v>
      </c>
      <c r="AA347">
        <v>14</v>
      </c>
      <c r="AB347">
        <v>39</v>
      </c>
      <c r="AC347">
        <v>45</v>
      </c>
      <c r="AD347">
        <v>42</v>
      </c>
      <c r="AE347">
        <v>16</v>
      </c>
      <c r="AF347">
        <v>28</v>
      </c>
      <c r="AG347">
        <v>29</v>
      </c>
      <c r="AH347">
        <v>21</v>
      </c>
      <c r="AI347">
        <v>46</v>
      </c>
      <c r="AJ347">
        <v>24</v>
      </c>
      <c r="AK347">
        <v>17</v>
      </c>
      <c r="AL347">
        <v>47</v>
      </c>
      <c r="AM347">
        <v>30</v>
      </c>
      <c r="AN347">
        <v>40</v>
      </c>
      <c r="AO347">
        <v>38</v>
      </c>
      <c r="AP347">
        <v>40</v>
      </c>
      <c r="AQ347">
        <v>42</v>
      </c>
      <c r="AR347">
        <v>17</v>
      </c>
      <c r="AS347">
        <v>9</v>
      </c>
      <c r="AT347">
        <v>43</v>
      </c>
      <c r="AU347">
        <v>6</v>
      </c>
      <c r="AV347">
        <v>5</v>
      </c>
      <c r="AW347">
        <v>20</v>
      </c>
      <c r="AX347">
        <v>2</v>
      </c>
      <c r="AY347">
        <v>45</v>
      </c>
      <c r="AZ347">
        <v>23</v>
      </c>
      <c r="BA347">
        <v>12</v>
      </c>
      <c r="BB347">
        <v>30</v>
      </c>
      <c r="BC347">
        <v>12</v>
      </c>
      <c r="BD347">
        <v>24</v>
      </c>
      <c r="BE347">
        <v>8</v>
      </c>
      <c r="BF347">
        <v>218986</v>
      </c>
      <c r="BG347">
        <v>7958</v>
      </c>
    </row>
    <row r="348" spans="1:59" x14ac:dyDescent="0.3">
      <c r="A348" s="3">
        <v>45638</v>
      </c>
      <c r="B348" t="s">
        <v>71</v>
      </c>
      <c r="C348">
        <v>12</v>
      </c>
      <c r="D348">
        <v>1118</v>
      </c>
      <c r="E348">
        <v>836</v>
      </c>
      <c r="F348">
        <v>6</v>
      </c>
      <c r="G348">
        <v>38</v>
      </c>
      <c r="H348">
        <v>0</v>
      </c>
      <c r="I348">
        <v>28</v>
      </c>
      <c r="J348">
        <v>38</v>
      </c>
      <c r="K348">
        <v>22</v>
      </c>
      <c r="L348">
        <v>18</v>
      </c>
      <c r="M348">
        <v>38</v>
      </c>
      <c r="N348">
        <v>32</v>
      </c>
      <c r="O348">
        <v>45</v>
      </c>
      <c r="P348">
        <v>17</v>
      </c>
      <c r="Q348">
        <v>47</v>
      </c>
      <c r="R348">
        <v>3</v>
      </c>
      <c r="S348">
        <v>33</v>
      </c>
      <c r="T348">
        <v>5</v>
      </c>
      <c r="U348">
        <v>10</v>
      </c>
      <c r="V348">
        <v>26</v>
      </c>
      <c r="W348">
        <v>26</v>
      </c>
      <c r="X348">
        <v>12</v>
      </c>
      <c r="Y348">
        <v>2</v>
      </c>
      <c r="Z348">
        <v>19</v>
      </c>
      <c r="AA348">
        <v>36</v>
      </c>
      <c r="AB348">
        <v>27</v>
      </c>
      <c r="AC348">
        <v>44</v>
      </c>
      <c r="AD348">
        <v>20</v>
      </c>
      <c r="AE348">
        <v>20</v>
      </c>
      <c r="AF348">
        <v>18</v>
      </c>
      <c r="AG348">
        <v>31</v>
      </c>
      <c r="AH348">
        <v>11</v>
      </c>
      <c r="AI348">
        <v>25</v>
      </c>
      <c r="AJ348">
        <v>39</v>
      </c>
      <c r="AK348">
        <v>43</v>
      </c>
      <c r="AL348">
        <v>25</v>
      </c>
      <c r="AM348">
        <v>6</v>
      </c>
      <c r="AN348">
        <v>22</v>
      </c>
      <c r="AO348">
        <v>14</v>
      </c>
      <c r="AP348">
        <v>7</v>
      </c>
      <c r="AQ348">
        <v>25</v>
      </c>
      <c r="AR348">
        <v>46</v>
      </c>
      <c r="AS348">
        <v>29</v>
      </c>
      <c r="AT348">
        <v>10</v>
      </c>
      <c r="AU348">
        <v>25</v>
      </c>
      <c r="AV348">
        <v>19</v>
      </c>
      <c r="AW348">
        <v>3</v>
      </c>
      <c r="AX348">
        <v>2</v>
      </c>
      <c r="AY348">
        <v>6</v>
      </c>
      <c r="AZ348">
        <v>32</v>
      </c>
      <c r="BA348">
        <v>14</v>
      </c>
      <c r="BB348">
        <v>27</v>
      </c>
      <c r="BC348">
        <v>31</v>
      </c>
      <c r="BD348">
        <v>32</v>
      </c>
      <c r="BE348">
        <v>45</v>
      </c>
      <c r="BF348">
        <v>219536</v>
      </c>
      <c r="BG348">
        <v>7970</v>
      </c>
    </row>
    <row r="349" spans="1:59" x14ac:dyDescent="0.3">
      <c r="A349" s="3">
        <v>45639</v>
      </c>
      <c r="B349" t="s">
        <v>71</v>
      </c>
      <c r="C349">
        <v>12</v>
      </c>
      <c r="D349">
        <v>1120</v>
      </c>
      <c r="E349">
        <v>837</v>
      </c>
      <c r="F349">
        <v>21</v>
      </c>
      <c r="G349">
        <v>37</v>
      </c>
      <c r="H349">
        <v>18</v>
      </c>
      <c r="I349">
        <v>36</v>
      </c>
      <c r="J349">
        <v>29</v>
      </c>
      <c r="K349">
        <v>49</v>
      </c>
      <c r="L349">
        <v>11</v>
      </c>
      <c r="M349">
        <v>26</v>
      </c>
      <c r="N349">
        <v>40</v>
      </c>
      <c r="O349">
        <v>4</v>
      </c>
      <c r="P349">
        <v>29</v>
      </c>
      <c r="Q349">
        <v>0</v>
      </c>
      <c r="R349">
        <v>48</v>
      </c>
      <c r="S349">
        <v>38</v>
      </c>
      <c r="T349">
        <v>4</v>
      </c>
      <c r="U349">
        <v>36</v>
      </c>
      <c r="V349">
        <v>42</v>
      </c>
      <c r="W349">
        <v>32</v>
      </c>
      <c r="X349">
        <v>26</v>
      </c>
      <c r="Y349">
        <v>35</v>
      </c>
      <c r="Z349">
        <v>1</v>
      </c>
      <c r="AA349">
        <v>21</v>
      </c>
      <c r="AB349">
        <v>22</v>
      </c>
      <c r="AC349">
        <v>46</v>
      </c>
      <c r="AD349">
        <v>45</v>
      </c>
      <c r="AE349">
        <v>17</v>
      </c>
      <c r="AF349">
        <v>47</v>
      </c>
      <c r="AG349">
        <v>7</v>
      </c>
      <c r="AH349">
        <v>32</v>
      </c>
      <c r="AI349">
        <v>28</v>
      </c>
      <c r="AJ349">
        <v>4</v>
      </c>
      <c r="AK349">
        <v>38</v>
      </c>
      <c r="AL349">
        <v>41</v>
      </c>
      <c r="AM349">
        <v>41</v>
      </c>
      <c r="AN349">
        <v>3</v>
      </c>
      <c r="AO349">
        <v>11</v>
      </c>
      <c r="AP349">
        <v>32</v>
      </c>
      <c r="AQ349">
        <v>15</v>
      </c>
      <c r="AR349">
        <v>14</v>
      </c>
      <c r="AS349">
        <v>0</v>
      </c>
      <c r="AT349">
        <v>18</v>
      </c>
      <c r="AU349">
        <v>46</v>
      </c>
      <c r="AV349">
        <v>22</v>
      </c>
      <c r="AW349">
        <v>17</v>
      </c>
      <c r="AX349">
        <v>18</v>
      </c>
      <c r="AY349">
        <v>42</v>
      </c>
      <c r="AZ349">
        <v>31</v>
      </c>
      <c r="BA349">
        <v>26</v>
      </c>
      <c r="BB349">
        <v>14</v>
      </c>
      <c r="BC349">
        <v>28</v>
      </c>
      <c r="BD349">
        <v>24</v>
      </c>
      <c r="BE349">
        <v>25</v>
      </c>
      <c r="BF349">
        <v>220087</v>
      </c>
      <c r="BG349">
        <v>7983</v>
      </c>
    </row>
    <row r="350" spans="1:59" x14ac:dyDescent="0.3">
      <c r="A350" s="3">
        <v>45640</v>
      </c>
      <c r="B350" t="s">
        <v>71</v>
      </c>
      <c r="C350">
        <v>12</v>
      </c>
      <c r="D350">
        <v>1122</v>
      </c>
      <c r="E350">
        <v>838</v>
      </c>
      <c r="F350">
        <v>23</v>
      </c>
      <c r="G350">
        <v>2</v>
      </c>
      <c r="H350">
        <v>41</v>
      </c>
      <c r="I350">
        <v>11</v>
      </c>
      <c r="J350">
        <v>6</v>
      </c>
      <c r="K350">
        <v>15</v>
      </c>
      <c r="L350">
        <v>20</v>
      </c>
      <c r="M350">
        <v>31</v>
      </c>
      <c r="N350">
        <v>8</v>
      </c>
      <c r="O350">
        <v>10</v>
      </c>
      <c r="P350">
        <v>11</v>
      </c>
      <c r="Q350">
        <v>32</v>
      </c>
      <c r="R350">
        <v>0</v>
      </c>
      <c r="S350">
        <v>10</v>
      </c>
      <c r="T350">
        <v>46</v>
      </c>
      <c r="U350">
        <v>35</v>
      </c>
      <c r="V350">
        <v>16</v>
      </c>
      <c r="W350">
        <v>19</v>
      </c>
      <c r="X350">
        <v>8</v>
      </c>
      <c r="Y350">
        <v>26</v>
      </c>
      <c r="Z350">
        <v>23</v>
      </c>
      <c r="AA350">
        <v>43</v>
      </c>
      <c r="AB350">
        <v>15</v>
      </c>
      <c r="AC350">
        <v>44</v>
      </c>
      <c r="AD350">
        <v>12</v>
      </c>
      <c r="AE350">
        <v>2</v>
      </c>
      <c r="AF350">
        <v>21</v>
      </c>
      <c r="AG350">
        <v>7</v>
      </c>
      <c r="AH350">
        <v>15</v>
      </c>
      <c r="AI350">
        <v>41</v>
      </c>
      <c r="AJ350">
        <v>17</v>
      </c>
      <c r="AK350">
        <v>10</v>
      </c>
      <c r="AL350">
        <v>10</v>
      </c>
      <c r="AM350">
        <v>19</v>
      </c>
      <c r="AN350">
        <v>49</v>
      </c>
      <c r="AO350">
        <v>2</v>
      </c>
      <c r="AP350">
        <v>16</v>
      </c>
      <c r="AQ350">
        <v>36</v>
      </c>
      <c r="AR350">
        <v>42</v>
      </c>
      <c r="AS350">
        <v>5</v>
      </c>
      <c r="AT350">
        <v>14</v>
      </c>
      <c r="AU350">
        <v>4</v>
      </c>
      <c r="AV350">
        <v>25</v>
      </c>
      <c r="AW350">
        <v>16</v>
      </c>
      <c r="AX350">
        <v>4</v>
      </c>
      <c r="AY350">
        <v>5</v>
      </c>
      <c r="AZ350">
        <v>4</v>
      </c>
      <c r="BA350">
        <v>30</v>
      </c>
      <c r="BB350">
        <v>26</v>
      </c>
      <c r="BC350">
        <v>10</v>
      </c>
      <c r="BD350">
        <v>39</v>
      </c>
      <c r="BE350">
        <v>10</v>
      </c>
      <c r="BF350">
        <v>220638</v>
      </c>
      <c r="BG350">
        <v>7995</v>
      </c>
    </row>
    <row r="351" spans="1:59" x14ac:dyDescent="0.3">
      <c r="A351" s="3">
        <v>45641</v>
      </c>
      <c r="B351" t="s">
        <v>71</v>
      </c>
      <c r="C351">
        <v>12</v>
      </c>
      <c r="D351">
        <v>1123</v>
      </c>
      <c r="E351">
        <v>839</v>
      </c>
      <c r="F351">
        <v>23</v>
      </c>
      <c r="G351">
        <v>25</v>
      </c>
      <c r="H351">
        <v>27</v>
      </c>
      <c r="I351">
        <v>11</v>
      </c>
      <c r="J351">
        <v>19</v>
      </c>
      <c r="K351">
        <v>34</v>
      </c>
      <c r="L351">
        <v>46</v>
      </c>
      <c r="M351">
        <v>40</v>
      </c>
      <c r="N351">
        <v>14</v>
      </c>
      <c r="O351">
        <v>2</v>
      </c>
      <c r="P351">
        <v>48</v>
      </c>
      <c r="Q351">
        <v>36</v>
      </c>
      <c r="R351">
        <v>49</v>
      </c>
      <c r="S351">
        <v>14</v>
      </c>
      <c r="T351">
        <v>45</v>
      </c>
      <c r="U351">
        <v>27</v>
      </c>
      <c r="V351">
        <v>41</v>
      </c>
      <c r="W351">
        <v>28</v>
      </c>
      <c r="X351">
        <v>20</v>
      </c>
      <c r="Y351">
        <v>4</v>
      </c>
      <c r="Z351">
        <v>16</v>
      </c>
      <c r="AA351">
        <v>11</v>
      </c>
      <c r="AB351">
        <v>8</v>
      </c>
      <c r="AC351">
        <v>49</v>
      </c>
      <c r="AD351">
        <v>3</v>
      </c>
      <c r="AE351">
        <v>0</v>
      </c>
      <c r="AF351">
        <v>33</v>
      </c>
      <c r="AG351">
        <v>23</v>
      </c>
      <c r="AH351">
        <v>4</v>
      </c>
      <c r="AI351">
        <v>14</v>
      </c>
      <c r="AJ351">
        <v>23</v>
      </c>
      <c r="AK351">
        <v>34</v>
      </c>
      <c r="AL351">
        <v>10</v>
      </c>
      <c r="AM351">
        <v>34</v>
      </c>
      <c r="AN351">
        <v>22</v>
      </c>
      <c r="AO351">
        <v>43</v>
      </c>
      <c r="AP351">
        <v>48</v>
      </c>
      <c r="AQ351">
        <v>30</v>
      </c>
      <c r="AR351">
        <v>29</v>
      </c>
      <c r="AS351">
        <v>42</v>
      </c>
      <c r="AT351">
        <v>21</v>
      </c>
      <c r="AU351">
        <v>40</v>
      </c>
      <c r="AV351">
        <v>17</v>
      </c>
      <c r="AW351">
        <v>35</v>
      </c>
      <c r="AX351">
        <v>31</v>
      </c>
      <c r="AY351">
        <v>12</v>
      </c>
      <c r="AZ351">
        <v>28</v>
      </c>
      <c r="BA351">
        <v>40</v>
      </c>
      <c r="BB351">
        <v>2</v>
      </c>
      <c r="BC351">
        <v>5</v>
      </c>
      <c r="BD351">
        <v>49</v>
      </c>
      <c r="BE351">
        <v>20</v>
      </c>
      <c r="BF351">
        <v>221189</v>
      </c>
      <c r="BG351">
        <v>8007</v>
      </c>
    </row>
    <row r="352" spans="1:59" x14ac:dyDescent="0.3">
      <c r="A352" s="3">
        <v>45642</v>
      </c>
      <c r="B352" t="s">
        <v>71</v>
      </c>
      <c r="C352">
        <v>12</v>
      </c>
      <c r="D352">
        <v>1125</v>
      </c>
      <c r="E352">
        <v>839</v>
      </c>
      <c r="F352">
        <v>40</v>
      </c>
      <c r="G352">
        <v>20</v>
      </c>
      <c r="H352">
        <v>40</v>
      </c>
      <c r="I352">
        <v>12</v>
      </c>
      <c r="J352">
        <v>27</v>
      </c>
      <c r="K352">
        <v>45</v>
      </c>
      <c r="L352">
        <v>23</v>
      </c>
      <c r="M352">
        <v>20</v>
      </c>
      <c r="N352">
        <v>30</v>
      </c>
      <c r="O352">
        <v>37</v>
      </c>
      <c r="P352">
        <v>14</v>
      </c>
      <c r="Q352">
        <v>49</v>
      </c>
      <c r="R352">
        <v>44</v>
      </c>
      <c r="S352">
        <v>12</v>
      </c>
      <c r="T352">
        <v>29</v>
      </c>
      <c r="U352">
        <v>25</v>
      </c>
      <c r="V352">
        <v>46</v>
      </c>
      <c r="W352">
        <v>14</v>
      </c>
      <c r="X352">
        <v>19</v>
      </c>
      <c r="Y352">
        <v>11</v>
      </c>
      <c r="Z352">
        <v>40</v>
      </c>
      <c r="AA352">
        <v>24</v>
      </c>
      <c r="AB352">
        <v>46</v>
      </c>
      <c r="AC352">
        <v>30</v>
      </c>
      <c r="AD352">
        <v>11</v>
      </c>
      <c r="AE352">
        <v>20</v>
      </c>
      <c r="AF352">
        <v>30</v>
      </c>
      <c r="AG352">
        <v>13</v>
      </c>
      <c r="AH352">
        <v>48</v>
      </c>
      <c r="AI352">
        <v>15</v>
      </c>
      <c r="AJ352">
        <v>34</v>
      </c>
      <c r="AK352">
        <v>44</v>
      </c>
      <c r="AL352">
        <v>14</v>
      </c>
      <c r="AM352">
        <v>40</v>
      </c>
      <c r="AN352">
        <v>41</v>
      </c>
      <c r="AO352">
        <v>30</v>
      </c>
      <c r="AP352">
        <v>12</v>
      </c>
      <c r="AQ352">
        <v>45</v>
      </c>
      <c r="AR352">
        <v>28</v>
      </c>
      <c r="AS352">
        <v>29</v>
      </c>
      <c r="AT352">
        <v>23</v>
      </c>
      <c r="AU352">
        <v>14</v>
      </c>
      <c r="AV352">
        <v>6</v>
      </c>
      <c r="AW352">
        <v>25</v>
      </c>
      <c r="AX352">
        <v>44</v>
      </c>
      <c r="AY352">
        <v>11</v>
      </c>
      <c r="AZ352">
        <v>35</v>
      </c>
      <c r="BA352">
        <v>16</v>
      </c>
      <c r="BB352">
        <v>36</v>
      </c>
      <c r="BC352">
        <v>32</v>
      </c>
      <c r="BD352">
        <v>27</v>
      </c>
      <c r="BE352">
        <v>24</v>
      </c>
      <c r="BF352">
        <v>221739</v>
      </c>
      <c r="BG352">
        <v>8019</v>
      </c>
    </row>
    <row r="353" spans="1:59" x14ac:dyDescent="0.3">
      <c r="A353" s="3">
        <v>45643</v>
      </c>
      <c r="B353" t="s">
        <v>71</v>
      </c>
      <c r="C353">
        <v>12</v>
      </c>
      <c r="D353">
        <v>1126</v>
      </c>
      <c r="E353">
        <v>840</v>
      </c>
      <c r="F353">
        <v>19</v>
      </c>
      <c r="G353">
        <v>41</v>
      </c>
      <c r="H353">
        <v>39</v>
      </c>
      <c r="I353">
        <v>38</v>
      </c>
      <c r="J353">
        <v>12</v>
      </c>
      <c r="K353">
        <v>41</v>
      </c>
      <c r="L353">
        <v>25</v>
      </c>
      <c r="M353">
        <v>14</v>
      </c>
      <c r="N353">
        <v>14</v>
      </c>
      <c r="O353">
        <v>24</v>
      </c>
      <c r="P353">
        <v>34</v>
      </c>
      <c r="Q353">
        <v>11</v>
      </c>
      <c r="R353">
        <v>40</v>
      </c>
      <c r="S353">
        <v>17</v>
      </c>
      <c r="T353">
        <v>0</v>
      </c>
      <c r="U353">
        <v>43</v>
      </c>
      <c r="V353">
        <v>12</v>
      </c>
      <c r="W353">
        <v>3</v>
      </c>
      <c r="X353">
        <v>37</v>
      </c>
      <c r="Y353">
        <v>45</v>
      </c>
      <c r="Z353">
        <v>40</v>
      </c>
      <c r="AA353">
        <v>29</v>
      </c>
      <c r="AB353">
        <v>4</v>
      </c>
      <c r="AC353">
        <v>31</v>
      </c>
      <c r="AD353">
        <v>3</v>
      </c>
      <c r="AE353">
        <v>23</v>
      </c>
      <c r="AF353">
        <v>48</v>
      </c>
      <c r="AG353">
        <v>32</v>
      </c>
      <c r="AH353">
        <v>18</v>
      </c>
      <c r="AI353">
        <v>30</v>
      </c>
      <c r="AJ353">
        <v>18</v>
      </c>
      <c r="AK353">
        <v>32</v>
      </c>
      <c r="AL353">
        <v>17</v>
      </c>
      <c r="AM353">
        <v>33</v>
      </c>
      <c r="AN353">
        <v>1</v>
      </c>
      <c r="AO353">
        <v>25</v>
      </c>
      <c r="AP353">
        <v>35</v>
      </c>
      <c r="AQ353">
        <v>40</v>
      </c>
      <c r="AR353">
        <v>22</v>
      </c>
      <c r="AS353">
        <v>14</v>
      </c>
      <c r="AT353">
        <v>14</v>
      </c>
      <c r="AU353">
        <v>5</v>
      </c>
      <c r="AV353">
        <v>10</v>
      </c>
      <c r="AW353">
        <v>29</v>
      </c>
      <c r="AX353">
        <v>40</v>
      </c>
      <c r="AY353">
        <v>6</v>
      </c>
      <c r="AZ353">
        <v>37</v>
      </c>
      <c r="BA353">
        <v>25</v>
      </c>
      <c r="BB353">
        <v>43</v>
      </c>
      <c r="BC353">
        <v>23</v>
      </c>
      <c r="BD353">
        <v>47</v>
      </c>
      <c r="BE353">
        <v>23</v>
      </c>
      <c r="BF353">
        <v>222290</v>
      </c>
      <c r="BG353">
        <v>8031</v>
      </c>
    </row>
    <row r="354" spans="1:59" x14ac:dyDescent="0.3">
      <c r="A354" s="3">
        <v>45644</v>
      </c>
      <c r="B354" t="s">
        <v>71</v>
      </c>
      <c r="C354">
        <v>12</v>
      </c>
      <c r="D354">
        <v>1128</v>
      </c>
      <c r="E354">
        <v>841</v>
      </c>
      <c r="F354">
        <v>26</v>
      </c>
      <c r="G354">
        <v>5</v>
      </c>
      <c r="H354">
        <v>26</v>
      </c>
      <c r="I354">
        <v>19</v>
      </c>
      <c r="J354">
        <v>38</v>
      </c>
      <c r="K354">
        <v>10</v>
      </c>
      <c r="L354">
        <v>33</v>
      </c>
      <c r="M354">
        <v>16</v>
      </c>
      <c r="N354">
        <v>9</v>
      </c>
      <c r="O354">
        <v>41</v>
      </c>
      <c r="P354">
        <v>17</v>
      </c>
      <c r="Q354">
        <v>28</v>
      </c>
      <c r="R354">
        <v>41</v>
      </c>
      <c r="S354">
        <v>35</v>
      </c>
      <c r="T354">
        <v>28</v>
      </c>
      <c r="U354">
        <v>34</v>
      </c>
      <c r="V354">
        <v>7</v>
      </c>
      <c r="W354">
        <v>6</v>
      </c>
      <c r="X354">
        <v>28</v>
      </c>
      <c r="Y354">
        <v>8</v>
      </c>
      <c r="Z354">
        <v>34</v>
      </c>
      <c r="AA354">
        <v>16</v>
      </c>
      <c r="AB354">
        <v>32</v>
      </c>
      <c r="AC354">
        <v>34</v>
      </c>
      <c r="AD354">
        <v>42</v>
      </c>
      <c r="AE354">
        <v>46</v>
      </c>
      <c r="AF354">
        <v>35</v>
      </c>
      <c r="AG354">
        <v>27</v>
      </c>
      <c r="AH354">
        <v>11</v>
      </c>
      <c r="AI354">
        <v>27</v>
      </c>
      <c r="AJ354">
        <v>37</v>
      </c>
      <c r="AK354">
        <v>42</v>
      </c>
      <c r="AL354">
        <v>3</v>
      </c>
      <c r="AM354">
        <v>6</v>
      </c>
      <c r="AN354">
        <v>45</v>
      </c>
      <c r="AO354">
        <v>37</v>
      </c>
      <c r="AP354">
        <v>44</v>
      </c>
      <c r="AQ354">
        <v>45</v>
      </c>
      <c r="AR354">
        <v>37</v>
      </c>
      <c r="AS354">
        <v>47</v>
      </c>
      <c r="AT354">
        <v>34</v>
      </c>
      <c r="AU354">
        <v>2</v>
      </c>
      <c r="AV354">
        <v>8</v>
      </c>
      <c r="AW354">
        <v>0</v>
      </c>
      <c r="AX354">
        <v>32</v>
      </c>
      <c r="AY354">
        <v>21</v>
      </c>
      <c r="AZ354">
        <v>44</v>
      </c>
      <c r="BA354">
        <v>37</v>
      </c>
      <c r="BB354">
        <v>23</v>
      </c>
      <c r="BC354">
        <v>10</v>
      </c>
      <c r="BD354">
        <v>34</v>
      </c>
      <c r="BE354">
        <v>2</v>
      </c>
      <c r="BF354">
        <v>222841</v>
      </c>
      <c r="BG354">
        <v>8043</v>
      </c>
    </row>
    <row r="355" spans="1:59" x14ac:dyDescent="0.3">
      <c r="A355" s="3">
        <v>45645</v>
      </c>
      <c r="B355" t="s">
        <v>71</v>
      </c>
      <c r="C355">
        <v>12</v>
      </c>
      <c r="D355">
        <v>1130</v>
      </c>
      <c r="E355">
        <v>841</v>
      </c>
      <c r="F355">
        <v>6</v>
      </c>
      <c r="G355">
        <v>21</v>
      </c>
      <c r="H355">
        <v>0</v>
      </c>
      <c r="I355">
        <v>8</v>
      </c>
      <c r="J355">
        <v>37</v>
      </c>
      <c r="K355">
        <v>33</v>
      </c>
      <c r="L355">
        <v>32</v>
      </c>
      <c r="M355">
        <v>9</v>
      </c>
      <c r="N355">
        <v>14</v>
      </c>
      <c r="O355">
        <v>24</v>
      </c>
      <c r="P355">
        <v>35</v>
      </c>
      <c r="Q355">
        <v>24</v>
      </c>
      <c r="R355">
        <v>15</v>
      </c>
      <c r="S355">
        <v>10</v>
      </c>
      <c r="T355">
        <v>48</v>
      </c>
      <c r="U355">
        <v>14</v>
      </c>
      <c r="V355">
        <v>36</v>
      </c>
      <c r="W355">
        <v>42</v>
      </c>
      <c r="X355">
        <v>28</v>
      </c>
      <c r="Y355">
        <v>34</v>
      </c>
      <c r="Z355">
        <v>6</v>
      </c>
      <c r="AA355">
        <v>0</v>
      </c>
      <c r="AB355">
        <v>36</v>
      </c>
      <c r="AC355">
        <v>6</v>
      </c>
      <c r="AD355">
        <v>23</v>
      </c>
      <c r="AE355">
        <v>16</v>
      </c>
      <c r="AF355">
        <v>33</v>
      </c>
      <c r="AG355">
        <v>10</v>
      </c>
      <c r="AH355">
        <v>36</v>
      </c>
      <c r="AI355">
        <v>0</v>
      </c>
      <c r="AJ355">
        <v>10</v>
      </c>
      <c r="AK355">
        <v>30</v>
      </c>
      <c r="AL355">
        <v>6</v>
      </c>
      <c r="AM355">
        <v>14</v>
      </c>
      <c r="AN355">
        <v>35</v>
      </c>
      <c r="AO355">
        <v>7</v>
      </c>
      <c r="AP355">
        <v>30</v>
      </c>
      <c r="AQ355">
        <v>48</v>
      </c>
      <c r="AR355">
        <v>22</v>
      </c>
      <c r="AS355">
        <v>42</v>
      </c>
      <c r="AT355">
        <v>38</v>
      </c>
      <c r="AU355">
        <v>26</v>
      </c>
      <c r="AV355">
        <v>32</v>
      </c>
      <c r="AW355">
        <v>49</v>
      </c>
      <c r="AX355">
        <v>1</v>
      </c>
      <c r="AY355">
        <v>0</v>
      </c>
      <c r="AZ355">
        <v>15</v>
      </c>
      <c r="BA355">
        <v>15</v>
      </c>
      <c r="BB355">
        <v>48</v>
      </c>
      <c r="BC355">
        <v>15</v>
      </c>
      <c r="BD355">
        <v>33</v>
      </c>
      <c r="BE355">
        <v>12</v>
      </c>
      <c r="BF355">
        <v>223391</v>
      </c>
      <c r="BG355">
        <v>8055</v>
      </c>
    </row>
    <row r="356" spans="1:59" x14ac:dyDescent="0.3">
      <c r="A356" s="3">
        <v>45646</v>
      </c>
      <c r="B356" t="s">
        <v>71</v>
      </c>
      <c r="C356">
        <v>12</v>
      </c>
      <c r="D356">
        <v>1131</v>
      </c>
      <c r="E356">
        <v>842</v>
      </c>
      <c r="F356">
        <v>42</v>
      </c>
      <c r="G356">
        <v>13</v>
      </c>
      <c r="H356">
        <v>40</v>
      </c>
      <c r="I356">
        <v>48</v>
      </c>
      <c r="J356">
        <v>24</v>
      </c>
      <c r="K356">
        <v>13</v>
      </c>
      <c r="L356">
        <v>10</v>
      </c>
      <c r="M356">
        <v>3</v>
      </c>
      <c r="N356">
        <v>30</v>
      </c>
      <c r="O356">
        <v>46</v>
      </c>
      <c r="P356">
        <v>22</v>
      </c>
      <c r="Q356">
        <v>11</v>
      </c>
      <c r="R356">
        <v>39</v>
      </c>
      <c r="S356">
        <v>13</v>
      </c>
      <c r="T356">
        <v>13</v>
      </c>
      <c r="U356">
        <v>38</v>
      </c>
      <c r="V356">
        <v>23</v>
      </c>
      <c r="W356">
        <v>27</v>
      </c>
      <c r="X356">
        <v>40</v>
      </c>
      <c r="Y356">
        <v>5</v>
      </c>
      <c r="Z356">
        <v>48</v>
      </c>
      <c r="AA356">
        <v>46</v>
      </c>
      <c r="AB356">
        <v>35</v>
      </c>
      <c r="AC356">
        <v>7</v>
      </c>
      <c r="AD356">
        <v>0</v>
      </c>
      <c r="AE356">
        <v>14</v>
      </c>
      <c r="AF356">
        <v>17</v>
      </c>
      <c r="AG356">
        <v>10</v>
      </c>
      <c r="AH356">
        <v>42</v>
      </c>
      <c r="AI356">
        <v>25</v>
      </c>
      <c r="AJ356">
        <v>30</v>
      </c>
      <c r="AK356">
        <v>13</v>
      </c>
      <c r="AL356">
        <v>1</v>
      </c>
      <c r="AM356">
        <v>47</v>
      </c>
      <c r="AN356">
        <v>36</v>
      </c>
      <c r="AO356">
        <v>44</v>
      </c>
      <c r="AP356">
        <v>24</v>
      </c>
      <c r="AQ356">
        <v>45</v>
      </c>
      <c r="AR356">
        <v>10</v>
      </c>
      <c r="AS356">
        <v>47</v>
      </c>
      <c r="AT356">
        <v>44</v>
      </c>
      <c r="AU356">
        <v>28</v>
      </c>
      <c r="AV356">
        <v>29</v>
      </c>
      <c r="AW356">
        <v>34</v>
      </c>
      <c r="AX356">
        <v>15</v>
      </c>
      <c r="AY356">
        <v>29</v>
      </c>
      <c r="AZ356">
        <v>17</v>
      </c>
      <c r="BA356">
        <v>4</v>
      </c>
      <c r="BB356">
        <v>20</v>
      </c>
      <c r="BC356">
        <v>12</v>
      </c>
      <c r="BD356">
        <v>40</v>
      </c>
      <c r="BE356">
        <v>21</v>
      </c>
      <c r="BF356">
        <v>223942</v>
      </c>
      <c r="BG356">
        <v>8067</v>
      </c>
    </row>
    <row r="357" spans="1:59" x14ac:dyDescent="0.3">
      <c r="A357" s="3">
        <v>45647</v>
      </c>
      <c r="B357" t="s">
        <v>71</v>
      </c>
      <c r="C357">
        <v>12</v>
      </c>
      <c r="D357">
        <v>1133</v>
      </c>
      <c r="E357">
        <v>843</v>
      </c>
      <c r="F357">
        <v>16</v>
      </c>
      <c r="G357">
        <v>31</v>
      </c>
      <c r="H357">
        <v>18</v>
      </c>
      <c r="I357">
        <v>44</v>
      </c>
      <c r="J357">
        <v>26</v>
      </c>
      <c r="K357">
        <v>7</v>
      </c>
      <c r="L357">
        <v>43</v>
      </c>
      <c r="M357">
        <v>21</v>
      </c>
      <c r="N357">
        <v>35</v>
      </c>
      <c r="O357">
        <v>26</v>
      </c>
      <c r="P357">
        <v>32</v>
      </c>
      <c r="Q357">
        <v>45</v>
      </c>
      <c r="R357">
        <v>48</v>
      </c>
      <c r="S357">
        <v>2</v>
      </c>
      <c r="T357">
        <v>31</v>
      </c>
      <c r="U357">
        <v>9</v>
      </c>
      <c r="V357">
        <v>18</v>
      </c>
      <c r="W357">
        <v>36</v>
      </c>
      <c r="X357">
        <v>48</v>
      </c>
      <c r="Y357">
        <v>39</v>
      </c>
      <c r="Z357">
        <v>20</v>
      </c>
      <c r="AA357">
        <v>0</v>
      </c>
      <c r="AB357">
        <v>47</v>
      </c>
      <c r="AC357">
        <v>21</v>
      </c>
      <c r="AD357">
        <v>41</v>
      </c>
      <c r="AE357">
        <v>48</v>
      </c>
      <c r="AF357">
        <v>16</v>
      </c>
      <c r="AG357">
        <v>25</v>
      </c>
      <c r="AH357">
        <v>42</v>
      </c>
      <c r="AI357">
        <v>39</v>
      </c>
      <c r="AJ357">
        <v>25</v>
      </c>
      <c r="AK357">
        <v>17</v>
      </c>
      <c r="AL357">
        <v>5</v>
      </c>
      <c r="AM357">
        <v>22</v>
      </c>
      <c r="AN357">
        <v>16</v>
      </c>
      <c r="AO357">
        <v>36</v>
      </c>
      <c r="AP357">
        <v>46</v>
      </c>
      <c r="AQ357">
        <v>12</v>
      </c>
      <c r="AR357">
        <v>10</v>
      </c>
      <c r="AS357">
        <v>1</v>
      </c>
      <c r="AT357">
        <v>4</v>
      </c>
      <c r="AU357">
        <v>4</v>
      </c>
      <c r="AV357">
        <v>31</v>
      </c>
      <c r="AW357">
        <v>33</v>
      </c>
      <c r="AX357">
        <v>40</v>
      </c>
      <c r="AY357">
        <v>6</v>
      </c>
      <c r="AZ357">
        <v>30</v>
      </c>
      <c r="BA357">
        <v>18</v>
      </c>
      <c r="BB357">
        <v>6</v>
      </c>
      <c r="BC357">
        <v>1</v>
      </c>
      <c r="BD357">
        <v>32</v>
      </c>
      <c r="BE357">
        <v>34</v>
      </c>
      <c r="BF357">
        <v>224493</v>
      </c>
      <c r="BG357">
        <v>8079</v>
      </c>
    </row>
    <row r="358" spans="1:59" x14ac:dyDescent="0.3">
      <c r="A358" s="3">
        <v>45648</v>
      </c>
      <c r="B358" t="s">
        <v>71</v>
      </c>
      <c r="C358">
        <v>12</v>
      </c>
      <c r="D358">
        <v>1135</v>
      </c>
      <c r="E358">
        <v>843</v>
      </c>
      <c r="F358">
        <v>9</v>
      </c>
      <c r="G358">
        <v>43</v>
      </c>
      <c r="H358">
        <v>2</v>
      </c>
      <c r="I358">
        <v>17</v>
      </c>
      <c r="J358">
        <v>0</v>
      </c>
      <c r="K358">
        <v>48</v>
      </c>
      <c r="L358">
        <v>26</v>
      </c>
      <c r="M358">
        <v>5</v>
      </c>
      <c r="N358">
        <v>26</v>
      </c>
      <c r="O358">
        <v>33</v>
      </c>
      <c r="P358">
        <v>5</v>
      </c>
      <c r="Q358">
        <v>17</v>
      </c>
      <c r="R358">
        <v>27</v>
      </c>
      <c r="S358">
        <v>8</v>
      </c>
      <c r="T358">
        <v>23</v>
      </c>
      <c r="U358">
        <v>46</v>
      </c>
      <c r="V358">
        <v>36</v>
      </c>
      <c r="W358">
        <v>33</v>
      </c>
      <c r="X358">
        <v>17</v>
      </c>
      <c r="Y358">
        <v>29</v>
      </c>
      <c r="Z358">
        <v>10</v>
      </c>
      <c r="AA358">
        <v>20</v>
      </c>
      <c r="AB358">
        <v>36</v>
      </c>
      <c r="AC358">
        <v>24</v>
      </c>
      <c r="AD358">
        <v>19</v>
      </c>
      <c r="AE358">
        <v>4</v>
      </c>
      <c r="AF358">
        <v>34</v>
      </c>
      <c r="AG358">
        <v>7</v>
      </c>
      <c r="AH358">
        <v>46</v>
      </c>
      <c r="AI358">
        <v>30</v>
      </c>
      <c r="AJ358">
        <v>16</v>
      </c>
      <c r="AK358">
        <v>49</v>
      </c>
      <c r="AL358">
        <v>22</v>
      </c>
      <c r="AM358">
        <v>42</v>
      </c>
      <c r="AN358">
        <v>25</v>
      </c>
      <c r="AO358">
        <v>40</v>
      </c>
      <c r="AP358">
        <v>12</v>
      </c>
      <c r="AQ358">
        <v>13</v>
      </c>
      <c r="AR358">
        <v>30</v>
      </c>
      <c r="AS358">
        <v>37</v>
      </c>
      <c r="AT358">
        <v>12</v>
      </c>
      <c r="AU358">
        <v>43</v>
      </c>
      <c r="AV358">
        <v>38</v>
      </c>
      <c r="AW358">
        <v>32</v>
      </c>
      <c r="AX358">
        <v>44</v>
      </c>
      <c r="AY358">
        <v>48</v>
      </c>
      <c r="AZ358">
        <v>44</v>
      </c>
      <c r="BA358">
        <v>21</v>
      </c>
      <c r="BB358">
        <v>36</v>
      </c>
      <c r="BC358">
        <v>1</v>
      </c>
      <c r="BD358">
        <v>45</v>
      </c>
      <c r="BE358">
        <v>15</v>
      </c>
      <c r="BF358">
        <v>225043</v>
      </c>
      <c r="BG358">
        <v>8091</v>
      </c>
    </row>
    <row r="359" spans="1:59" x14ac:dyDescent="0.3">
      <c r="A359" s="3">
        <v>45649</v>
      </c>
      <c r="B359" t="s">
        <v>71</v>
      </c>
      <c r="C359">
        <v>12</v>
      </c>
      <c r="D359">
        <v>1136</v>
      </c>
      <c r="E359">
        <v>844</v>
      </c>
      <c r="F359">
        <v>31</v>
      </c>
      <c r="G359">
        <v>21</v>
      </c>
      <c r="H359">
        <v>27</v>
      </c>
      <c r="I359">
        <v>31</v>
      </c>
      <c r="J359">
        <v>32</v>
      </c>
      <c r="K359">
        <v>43</v>
      </c>
      <c r="L359">
        <v>20</v>
      </c>
      <c r="M359">
        <v>5</v>
      </c>
      <c r="N359">
        <v>11</v>
      </c>
      <c r="O359">
        <v>11</v>
      </c>
      <c r="P359">
        <v>36</v>
      </c>
      <c r="Q359">
        <v>29</v>
      </c>
      <c r="R359">
        <v>27</v>
      </c>
      <c r="S359">
        <v>16</v>
      </c>
      <c r="T359">
        <v>47</v>
      </c>
      <c r="U359">
        <v>1</v>
      </c>
      <c r="V359">
        <v>14</v>
      </c>
      <c r="W359">
        <v>41</v>
      </c>
      <c r="X359">
        <v>3</v>
      </c>
      <c r="Y359">
        <v>33</v>
      </c>
      <c r="Z359">
        <v>37</v>
      </c>
      <c r="AA359">
        <v>40</v>
      </c>
      <c r="AB359">
        <v>46</v>
      </c>
      <c r="AC359">
        <v>23</v>
      </c>
      <c r="AD359">
        <v>14</v>
      </c>
      <c r="AE359">
        <v>3</v>
      </c>
      <c r="AF359">
        <v>38</v>
      </c>
      <c r="AG359">
        <v>3</v>
      </c>
      <c r="AH359">
        <v>7</v>
      </c>
      <c r="AI359">
        <v>9</v>
      </c>
      <c r="AJ359">
        <v>46</v>
      </c>
      <c r="AK359">
        <v>6</v>
      </c>
      <c r="AL359">
        <v>31</v>
      </c>
      <c r="AM359">
        <v>11</v>
      </c>
      <c r="AN359">
        <v>28</v>
      </c>
      <c r="AO359">
        <v>16</v>
      </c>
      <c r="AP359">
        <v>12</v>
      </c>
      <c r="AQ359">
        <v>12</v>
      </c>
      <c r="AR359">
        <v>40</v>
      </c>
      <c r="AS359">
        <v>30</v>
      </c>
      <c r="AT359">
        <v>9</v>
      </c>
      <c r="AU359">
        <v>45</v>
      </c>
      <c r="AV359">
        <v>6</v>
      </c>
      <c r="AW359">
        <v>8</v>
      </c>
      <c r="AX359">
        <v>20</v>
      </c>
      <c r="AY359">
        <v>39</v>
      </c>
      <c r="AZ359">
        <v>41</v>
      </c>
      <c r="BA359">
        <v>14</v>
      </c>
      <c r="BB359">
        <v>43</v>
      </c>
      <c r="BC359">
        <v>44</v>
      </c>
      <c r="BD359">
        <v>47</v>
      </c>
      <c r="BE359">
        <v>39</v>
      </c>
      <c r="BF359">
        <v>225594</v>
      </c>
      <c r="BG359">
        <v>8103</v>
      </c>
    </row>
    <row r="360" spans="1:59" x14ac:dyDescent="0.3">
      <c r="A360" s="3">
        <v>45650</v>
      </c>
      <c r="B360" t="s">
        <v>71</v>
      </c>
      <c r="C360">
        <v>12</v>
      </c>
      <c r="D360">
        <v>1138</v>
      </c>
      <c r="E360">
        <v>845</v>
      </c>
      <c r="F360">
        <v>49</v>
      </c>
      <c r="G360">
        <v>2</v>
      </c>
      <c r="H360">
        <v>1</v>
      </c>
      <c r="I360">
        <v>13</v>
      </c>
      <c r="J360">
        <v>45</v>
      </c>
      <c r="K360">
        <v>26</v>
      </c>
      <c r="L360">
        <v>49</v>
      </c>
      <c r="M360">
        <v>3</v>
      </c>
      <c r="N360">
        <v>38</v>
      </c>
      <c r="O360">
        <v>11</v>
      </c>
      <c r="P360">
        <v>31</v>
      </c>
      <c r="Q360">
        <v>33</v>
      </c>
      <c r="R360">
        <v>13</v>
      </c>
      <c r="S360">
        <v>17</v>
      </c>
      <c r="T360">
        <v>49</v>
      </c>
      <c r="U360">
        <v>16</v>
      </c>
      <c r="V360">
        <v>43</v>
      </c>
      <c r="W360">
        <v>48</v>
      </c>
      <c r="X360">
        <v>42</v>
      </c>
      <c r="Y360">
        <v>11</v>
      </c>
      <c r="Z360">
        <v>27</v>
      </c>
      <c r="AA360">
        <v>39</v>
      </c>
      <c r="AB360">
        <v>18</v>
      </c>
      <c r="AC360">
        <v>42</v>
      </c>
      <c r="AD360">
        <v>18</v>
      </c>
      <c r="AE360">
        <v>37</v>
      </c>
      <c r="AF360">
        <v>2</v>
      </c>
      <c r="AG360">
        <v>28</v>
      </c>
      <c r="AH360">
        <v>29</v>
      </c>
      <c r="AI360">
        <v>46</v>
      </c>
      <c r="AJ360">
        <v>41</v>
      </c>
      <c r="AK360">
        <v>22</v>
      </c>
      <c r="AL360">
        <v>27</v>
      </c>
      <c r="AM360">
        <v>10</v>
      </c>
      <c r="AN360">
        <v>3</v>
      </c>
      <c r="AO360">
        <v>36</v>
      </c>
      <c r="AP360">
        <v>12</v>
      </c>
      <c r="AQ360">
        <v>8</v>
      </c>
      <c r="AR360">
        <v>33</v>
      </c>
      <c r="AS360">
        <v>25</v>
      </c>
      <c r="AT360">
        <v>20</v>
      </c>
      <c r="AU360">
        <v>4</v>
      </c>
      <c r="AV360">
        <v>11</v>
      </c>
      <c r="AW360">
        <v>17</v>
      </c>
      <c r="AX360">
        <v>37</v>
      </c>
      <c r="AY360">
        <v>20</v>
      </c>
      <c r="AZ360">
        <v>12</v>
      </c>
      <c r="BA360">
        <v>47</v>
      </c>
      <c r="BB360">
        <v>18</v>
      </c>
      <c r="BC360">
        <v>33</v>
      </c>
      <c r="BD360">
        <v>15</v>
      </c>
      <c r="BE360">
        <v>31</v>
      </c>
      <c r="BF360">
        <v>226145</v>
      </c>
      <c r="BG360">
        <v>8115</v>
      </c>
    </row>
    <row r="361" spans="1:59" x14ac:dyDescent="0.3">
      <c r="A361" s="3">
        <v>45651</v>
      </c>
      <c r="B361" t="s">
        <v>71</v>
      </c>
      <c r="C361">
        <v>12</v>
      </c>
      <c r="D361">
        <v>1140</v>
      </c>
      <c r="E361">
        <v>845</v>
      </c>
      <c r="F361">
        <v>18</v>
      </c>
      <c r="G361">
        <v>30</v>
      </c>
      <c r="H361">
        <v>16</v>
      </c>
      <c r="I361">
        <v>41</v>
      </c>
      <c r="J361">
        <v>1</v>
      </c>
      <c r="K361">
        <v>7</v>
      </c>
      <c r="L361">
        <v>48</v>
      </c>
      <c r="M361">
        <v>44</v>
      </c>
      <c r="N361">
        <v>13</v>
      </c>
      <c r="O361">
        <v>21</v>
      </c>
      <c r="P361">
        <v>41</v>
      </c>
      <c r="Q361">
        <v>27</v>
      </c>
      <c r="R361">
        <v>33</v>
      </c>
      <c r="S361">
        <v>25</v>
      </c>
      <c r="T361">
        <v>19</v>
      </c>
      <c r="U361">
        <v>26</v>
      </c>
      <c r="V361">
        <v>45</v>
      </c>
      <c r="W361">
        <v>39</v>
      </c>
      <c r="X361">
        <v>16</v>
      </c>
      <c r="Y361">
        <v>24</v>
      </c>
      <c r="Z361">
        <v>27</v>
      </c>
      <c r="AA361">
        <v>30</v>
      </c>
      <c r="AB361">
        <v>4</v>
      </c>
      <c r="AC361">
        <v>6</v>
      </c>
      <c r="AD361">
        <v>12</v>
      </c>
      <c r="AE361">
        <v>8</v>
      </c>
      <c r="AF361">
        <v>42</v>
      </c>
      <c r="AG361">
        <v>47</v>
      </c>
      <c r="AH361">
        <v>45</v>
      </c>
      <c r="AI361">
        <v>12</v>
      </c>
      <c r="AJ361">
        <v>15</v>
      </c>
      <c r="AK361">
        <v>30</v>
      </c>
      <c r="AL361">
        <v>41</v>
      </c>
      <c r="AM361">
        <v>30</v>
      </c>
      <c r="AN361">
        <v>26</v>
      </c>
      <c r="AO361">
        <v>10</v>
      </c>
      <c r="AP361">
        <v>6</v>
      </c>
      <c r="AQ361">
        <v>24</v>
      </c>
      <c r="AR361">
        <v>34</v>
      </c>
      <c r="AS361">
        <v>33</v>
      </c>
      <c r="AT361">
        <v>38</v>
      </c>
      <c r="AU361">
        <v>45</v>
      </c>
      <c r="AV361">
        <v>42</v>
      </c>
      <c r="AW361">
        <v>15</v>
      </c>
      <c r="AX361">
        <v>48</v>
      </c>
      <c r="AY361">
        <v>35</v>
      </c>
      <c r="AZ361">
        <v>13</v>
      </c>
      <c r="BA361">
        <v>22</v>
      </c>
      <c r="BB361">
        <v>10</v>
      </c>
      <c r="BC361">
        <v>32</v>
      </c>
      <c r="BD361">
        <v>31</v>
      </c>
      <c r="BE361">
        <v>7</v>
      </c>
      <c r="BF361">
        <v>226695</v>
      </c>
      <c r="BG361">
        <v>8127</v>
      </c>
    </row>
    <row r="362" spans="1:59" x14ac:dyDescent="0.3">
      <c r="A362" s="3">
        <v>45652</v>
      </c>
      <c r="B362" t="s">
        <v>71</v>
      </c>
      <c r="C362">
        <v>12</v>
      </c>
      <c r="D362">
        <v>1141</v>
      </c>
      <c r="E362">
        <v>846</v>
      </c>
      <c r="F362">
        <v>12</v>
      </c>
      <c r="G362">
        <v>31</v>
      </c>
      <c r="H362">
        <v>23</v>
      </c>
      <c r="I362">
        <v>9</v>
      </c>
      <c r="J362">
        <v>20</v>
      </c>
      <c r="K362">
        <v>16</v>
      </c>
      <c r="L362">
        <v>25</v>
      </c>
      <c r="M362">
        <v>48</v>
      </c>
      <c r="N362">
        <v>23</v>
      </c>
      <c r="O362">
        <v>35</v>
      </c>
      <c r="P362">
        <v>10</v>
      </c>
      <c r="Q362">
        <v>2</v>
      </c>
      <c r="R362">
        <v>32</v>
      </c>
      <c r="S362">
        <v>36</v>
      </c>
      <c r="T362">
        <v>26</v>
      </c>
      <c r="U362">
        <v>2</v>
      </c>
      <c r="V362">
        <v>24</v>
      </c>
      <c r="W362">
        <v>5</v>
      </c>
      <c r="X362">
        <v>46</v>
      </c>
      <c r="Y362">
        <v>33</v>
      </c>
      <c r="Z362">
        <v>48</v>
      </c>
      <c r="AA362">
        <v>35</v>
      </c>
      <c r="AB362">
        <v>36</v>
      </c>
      <c r="AC362">
        <v>49</v>
      </c>
      <c r="AD362">
        <v>45</v>
      </c>
      <c r="AE362">
        <v>30</v>
      </c>
      <c r="AF362">
        <v>10</v>
      </c>
      <c r="AG362">
        <v>24</v>
      </c>
      <c r="AH362">
        <v>21</v>
      </c>
      <c r="AI362">
        <v>1</v>
      </c>
      <c r="AJ362">
        <v>40</v>
      </c>
      <c r="AK362">
        <v>43</v>
      </c>
      <c r="AL362">
        <v>10</v>
      </c>
      <c r="AM362">
        <v>30</v>
      </c>
      <c r="AN362">
        <v>11</v>
      </c>
      <c r="AO362">
        <v>28</v>
      </c>
      <c r="AP362">
        <v>39</v>
      </c>
      <c r="AQ362">
        <v>0</v>
      </c>
      <c r="AR362">
        <v>25</v>
      </c>
      <c r="AS362">
        <v>20</v>
      </c>
      <c r="AT362">
        <v>10</v>
      </c>
      <c r="AU362">
        <v>29</v>
      </c>
      <c r="AV362">
        <v>25</v>
      </c>
      <c r="AW362">
        <v>44</v>
      </c>
      <c r="AX362">
        <v>2</v>
      </c>
      <c r="AY362">
        <v>8</v>
      </c>
      <c r="AZ362">
        <v>8</v>
      </c>
      <c r="BA362">
        <v>45</v>
      </c>
      <c r="BB362">
        <v>39</v>
      </c>
      <c r="BC362">
        <v>1</v>
      </c>
      <c r="BD362">
        <v>9</v>
      </c>
      <c r="BE362">
        <v>24</v>
      </c>
      <c r="BF362">
        <v>227246</v>
      </c>
      <c r="BG362">
        <v>8139</v>
      </c>
    </row>
    <row r="363" spans="1:59" x14ac:dyDescent="0.3">
      <c r="A363" s="3">
        <v>45653</v>
      </c>
      <c r="B363" t="s">
        <v>71</v>
      </c>
      <c r="C363">
        <v>12</v>
      </c>
      <c r="D363">
        <v>1143</v>
      </c>
      <c r="E363">
        <v>847</v>
      </c>
      <c r="F363">
        <v>4</v>
      </c>
      <c r="G363">
        <v>42</v>
      </c>
      <c r="H363">
        <v>20</v>
      </c>
      <c r="I363">
        <v>18</v>
      </c>
      <c r="J363">
        <v>34</v>
      </c>
      <c r="K363">
        <v>12</v>
      </c>
      <c r="L363">
        <v>20</v>
      </c>
      <c r="M363">
        <v>38</v>
      </c>
      <c r="N363">
        <v>9</v>
      </c>
      <c r="O363">
        <v>40</v>
      </c>
      <c r="P363">
        <v>29</v>
      </c>
      <c r="Q363">
        <v>35</v>
      </c>
      <c r="R363">
        <v>23</v>
      </c>
      <c r="S363">
        <v>22</v>
      </c>
      <c r="T363">
        <v>3</v>
      </c>
      <c r="U363">
        <v>36</v>
      </c>
      <c r="V363">
        <v>40</v>
      </c>
      <c r="W363">
        <v>43</v>
      </c>
      <c r="X363">
        <v>42</v>
      </c>
      <c r="Y363">
        <v>15</v>
      </c>
      <c r="Z363">
        <v>48</v>
      </c>
      <c r="AA363">
        <v>40</v>
      </c>
      <c r="AB363">
        <v>17</v>
      </c>
      <c r="AC363">
        <v>20</v>
      </c>
      <c r="AD363">
        <v>6</v>
      </c>
      <c r="AE363">
        <v>24</v>
      </c>
      <c r="AF363">
        <v>41</v>
      </c>
      <c r="AG363">
        <v>38</v>
      </c>
      <c r="AH363">
        <v>34</v>
      </c>
      <c r="AI363">
        <v>5</v>
      </c>
      <c r="AJ363">
        <v>46</v>
      </c>
      <c r="AK363">
        <v>26</v>
      </c>
      <c r="AL363">
        <v>38</v>
      </c>
      <c r="AM363">
        <v>3</v>
      </c>
      <c r="AN363">
        <v>1</v>
      </c>
      <c r="AO363">
        <v>4</v>
      </c>
      <c r="AP363">
        <v>28</v>
      </c>
      <c r="AQ363">
        <v>17</v>
      </c>
      <c r="AR363">
        <v>32</v>
      </c>
      <c r="AS363">
        <v>38</v>
      </c>
      <c r="AT363">
        <v>0</v>
      </c>
      <c r="AU363">
        <v>34</v>
      </c>
      <c r="AV363">
        <v>42</v>
      </c>
      <c r="AW363">
        <v>23</v>
      </c>
      <c r="AX363">
        <v>7</v>
      </c>
      <c r="AY363">
        <v>30</v>
      </c>
      <c r="AZ363">
        <v>48</v>
      </c>
      <c r="BA363">
        <v>31</v>
      </c>
      <c r="BB363">
        <v>40</v>
      </c>
      <c r="BC363">
        <v>45</v>
      </c>
      <c r="BD363">
        <v>33</v>
      </c>
      <c r="BE363">
        <v>45</v>
      </c>
      <c r="BF363">
        <v>227797</v>
      </c>
      <c r="BG363">
        <v>8151</v>
      </c>
    </row>
    <row r="364" spans="1:59" x14ac:dyDescent="0.3">
      <c r="A364" s="3">
        <v>45654</v>
      </c>
      <c r="B364" t="s">
        <v>71</v>
      </c>
      <c r="C364">
        <v>12</v>
      </c>
      <c r="D364">
        <v>1145</v>
      </c>
      <c r="E364">
        <v>847</v>
      </c>
      <c r="F364">
        <v>36</v>
      </c>
      <c r="G364">
        <v>18</v>
      </c>
      <c r="H364">
        <v>32</v>
      </c>
      <c r="I364">
        <v>2</v>
      </c>
      <c r="J364">
        <v>23</v>
      </c>
      <c r="K364">
        <v>28</v>
      </c>
      <c r="L364">
        <v>36</v>
      </c>
      <c r="M364">
        <v>28</v>
      </c>
      <c r="N364">
        <v>31</v>
      </c>
      <c r="O364">
        <v>11</v>
      </c>
      <c r="P364">
        <v>48</v>
      </c>
      <c r="Q364">
        <v>41</v>
      </c>
      <c r="R364">
        <v>1</v>
      </c>
      <c r="S364">
        <v>42</v>
      </c>
      <c r="T364">
        <v>7</v>
      </c>
      <c r="U364">
        <v>9</v>
      </c>
      <c r="V364">
        <v>48</v>
      </c>
      <c r="W364">
        <v>38</v>
      </c>
      <c r="X364">
        <v>43</v>
      </c>
      <c r="Y364">
        <v>48</v>
      </c>
      <c r="Z364">
        <v>20</v>
      </c>
      <c r="AA364">
        <v>38</v>
      </c>
      <c r="AB364">
        <v>44</v>
      </c>
      <c r="AC364">
        <v>19</v>
      </c>
      <c r="AD364">
        <v>34</v>
      </c>
      <c r="AE364">
        <v>19</v>
      </c>
      <c r="AF364">
        <v>9</v>
      </c>
      <c r="AG364">
        <v>39</v>
      </c>
      <c r="AH364">
        <v>26</v>
      </c>
      <c r="AI364">
        <v>27</v>
      </c>
      <c r="AJ364">
        <v>45</v>
      </c>
      <c r="AK364">
        <v>31</v>
      </c>
      <c r="AL364">
        <v>5</v>
      </c>
      <c r="AM364">
        <v>8</v>
      </c>
      <c r="AN364">
        <v>24</v>
      </c>
      <c r="AO364">
        <v>30</v>
      </c>
      <c r="AP364">
        <v>41</v>
      </c>
      <c r="AQ364">
        <v>20</v>
      </c>
      <c r="AR364">
        <v>5</v>
      </c>
      <c r="AS364">
        <v>23</v>
      </c>
      <c r="AT364">
        <v>29</v>
      </c>
      <c r="AU364">
        <v>45</v>
      </c>
      <c r="AV364">
        <v>31</v>
      </c>
      <c r="AW364">
        <v>17</v>
      </c>
      <c r="AX364">
        <v>5</v>
      </c>
      <c r="AY364">
        <v>7</v>
      </c>
      <c r="AZ364">
        <v>31</v>
      </c>
      <c r="BA364">
        <v>22</v>
      </c>
      <c r="BB364">
        <v>48</v>
      </c>
      <c r="BC364">
        <v>33</v>
      </c>
      <c r="BD364">
        <v>21</v>
      </c>
      <c r="BE364">
        <v>44</v>
      </c>
      <c r="BF364">
        <v>228347</v>
      </c>
      <c r="BG364">
        <v>8163</v>
      </c>
    </row>
    <row r="365" spans="1:59" x14ac:dyDescent="0.3">
      <c r="A365" s="3">
        <v>45655</v>
      </c>
      <c r="B365" t="s">
        <v>71</v>
      </c>
      <c r="C365">
        <v>12</v>
      </c>
      <c r="D365">
        <v>1146</v>
      </c>
      <c r="E365">
        <v>848</v>
      </c>
      <c r="F365">
        <v>17</v>
      </c>
      <c r="G365">
        <v>23</v>
      </c>
      <c r="H365">
        <v>27</v>
      </c>
      <c r="I365">
        <v>39</v>
      </c>
      <c r="J365">
        <v>45</v>
      </c>
      <c r="K365">
        <v>1</v>
      </c>
      <c r="L365">
        <v>22</v>
      </c>
      <c r="M365">
        <v>0</v>
      </c>
      <c r="N365">
        <v>29</v>
      </c>
      <c r="O365">
        <v>31</v>
      </c>
      <c r="P365">
        <v>42</v>
      </c>
      <c r="Q365">
        <v>19</v>
      </c>
      <c r="R365">
        <v>45</v>
      </c>
      <c r="S365">
        <v>8</v>
      </c>
      <c r="T365">
        <v>11</v>
      </c>
      <c r="U365">
        <v>15</v>
      </c>
      <c r="V365">
        <v>21</v>
      </c>
      <c r="W365">
        <v>43</v>
      </c>
      <c r="X365">
        <v>47</v>
      </c>
      <c r="Y365">
        <v>30</v>
      </c>
      <c r="Z365">
        <v>28</v>
      </c>
      <c r="AA365">
        <v>4</v>
      </c>
      <c r="AB365">
        <v>9</v>
      </c>
      <c r="AC365">
        <v>25</v>
      </c>
      <c r="AD365">
        <v>38</v>
      </c>
      <c r="AE365">
        <v>0</v>
      </c>
      <c r="AF365">
        <v>22</v>
      </c>
      <c r="AG365">
        <v>27</v>
      </c>
      <c r="AH365">
        <v>22</v>
      </c>
      <c r="AI365">
        <v>4</v>
      </c>
      <c r="AJ365">
        <v>9</v>
      </c>
      <c r="AK365">
        <v>35</v>
      </c>
      <c r="AL365">
        <v>41</v>
      </c>
      <c r="AM365">
        <v>35</v>
      </c>
      <c r="AN365">
        <v>29</v>
      </c>
      <c r="AO365">
        <v>5</v>
      </c>
      <c r="AP365">
        <v>19</v>
      </c>
      <c r="AQ365">
        <v>27</v>
      </c>
      <c r="AR365">
        <v>21</v>
      </c>
      <c r="AS365">
        <v>3</v>
      </c>
      <c r="AT365">
        <v>41</v>
      </c>
      <c r="AU365">
        <v>16</v>
      </c>
      <c r="AV365">
        <v>4</v>
      </c>
      <c r="AW365">
        <v>42</v>
      </c>
      <c r="AX365">
        <v>6</v>
      </c>
      <c r="AY365">
        <v>25</v>
      </c>
      <c r="AZ365">
        <v>26</v>
      </c>
      <c r="BA365">
        <v>40</v>
      </c>
      <c r="BB365">
        <v>8</v>
      </c>
      <c r="BC365">
        <v>3</v>
      </c>
      <c r="BD365">
        <v>41</v>
      </c>
      <c r="BE365">
        <v>19</v>
      </c>
      <c r="BF365">
        <v>228898</v>
      </c>
      <c r="BG365">
        <v>8175</v>
      </c>
    </row>
    <row r="366" spans="1:59" x14ac:dyDescent="0.3">
      <c r="A366" s="3">
        <v>45656</v>
      </c>
      <c r="B366" t="s">
        <v>71</v>
      </c>
      <c r="C366">
        <v>12</v>
      </c>
      <c r="D366">
        <v>1148</v>
      </c>
      <c r="E366">
        <v>849</v>
      </c>
      <c r="F366">
        <v>1</v>
      </c>
      <c r="G366">
        <v>43</v>
      </c>
      <c r="H366">
        <v>0</v>
      </c>
      <c r="I366">
        <v>38</v>
      </c>
      <c r="J366">
        <v>47</v>
      </c>
      <c r="K366">
        <v>3</v>
      </c>
      <c r="L366">
        <v>12</v>
      </c>
      <c r="M366">
        <v>36</v>
      </c>
      <c r="N366">
        <v>44</v>
      </c>
      <c r="O366">
        <v>49</v>
      </c>
      <c r="P366">
        <v>0</v>
      </c>
      <c r="Q366">
        <v>17</v>
      </c>
      <c r="R366">
        <v>11</v>
      </c>
      <c r="S366">
        <v>6</v>
      </c>
      <c r="T366">
        <v>5</v>
      </c>
      <c r="U366">
        <v>37</v>
      </c>
      <c r="V366">
        <v>0</v>
      </c>
      <c r="W366">
        <v>1</v>
      </c>
      <c r="X366">
        <v>34</v>
      </c>
      <c r="Y366">
        <v>23</v>
      </c>
      <c r="Z366">
        <v>11</v>
      </c>
      <c r="AA366">
        <v>27</v>
      </c>
      <c r="AB366">
        <v>21</v>
      </c>
      <c r="AC366">
        <v>45</v>
      </c>
      <c r="AD366">
        <v>27</v>
      </c>
      <c r="AE366">
        <v>4</v>
      </c>
      <c r="AF366">
        <v>42</v>
      </c>
      <c r="AG366">
        <v>25</v>
      </c>
      <c r="AH366">
        <v>4</v>
      </c>
      <c r="AI366">
        <v>46</v>
      </c>
      <c r="AJ366">
        <v>28</v>
      </c>
      <c r="AK366">
        <v>35</v>
      </c>
      <c r="AL366">
        <v>2</v>
      </c>
      <c r="AM366">
        <v>44</v>
      </c>
      <c r="AN366">
        <v>44</v>
      </c>
      <c r="AO366">
        <v>14</v>
      </c>
      <c r="AP366">
        <v>31</v>
      </c>
      <c r="AQ366">
        <v>3</v>
      </c>
      <c r="AR366">
        <v>13</v>
      </c>
      <c r="AS366">
        <v>2</v>
      </c>
      <c r="AT366">
        <v>25</v>
      </c>
      <c r="AU366">
        <v>0</v>
      </c>
      <c r="AV366">
        <v>5</v>
      </c>
      <c r="AW366">
        <v>9</v>
      </c>
      <c r="AX366">
        <v>9</v>
      </c>
      <c r="AY366">
        <v>48</v>
      </c>
      <c r="AZ366">
        <v>25</v>
      </c>
      <c r="BA366">
        <v>33</v>
      </c>
      <c r="BB366">
        <v>7</v>
      </c>
      <c r="BC366">
        <v>9</v>
      </c>
      <c r="BD366">
        <v>23</v>
      </c>
      <c r="BE366">
        <v>36</v>
      </c>
      <c r="BF366">
        <v>229449</v>
      </c>
      <c r="BG366">
        <v>8187</v>
      </c>
    </row>
    <row r="367" spans="1:59" x14ac:dyDescent="0.3">
      <c r="A367" s="3">
        <v>45657</v>
      </c>
      <c r="B367" t="s">
        <v>71</v>
      </c>
      <c r="C367">
        <v>12</v>
      </c>
      <c r="D367">
        <v>1150</v>
      </c>
      <c r="E367">
        <v>850</v>
      </c>
      <c r="F367">
        <v>25</v>
      </c>
      <c r="G367">
        <v>48</v>
      </c>
      <c r="H367">
        <v>5</v>
      </c>
      <c r="I367">
        <v>30</v>
      </c>
      <c r="J367">
        <v>36</v>
      </c>
      <c r="K367">
        <v>11</v>
      </c>
      <c r="L367">
        <v>39</v>
      </c>
      <c r="M367">
        <v>4</v>
      </c>
      <c r="N367">
        <v>30</v>
      </c>
      <c r="O367">
        <v>24</v>
      </c>
      <c r="P367">
        <v>22</v>
      </c>
      <c r="Q367">
        <v>8</v>
      </c>
      <c r="R367">
        <v>13</v>
      </c>
      <c r="S367">
        <v>23</v>
      </c>
      <c r="T367">
        <v>16</v>
      </c>
      <c r="U367">
        <v>25</v>
      </c>
      <c r="V367">
        <v>43</v>
      </c>
      <c r="W367">
        <v>31</v>
      </c>
      <c r="X367">
        <v>10</v>
      </c>
      <c r="Y367">
        <v>3</v>
      </c>
      <c r="Z367">
        <v>44</v>
      </c>
      <c r="AA367">
        <v>31</v>
      </c>
      <c r="AB367">
        <v>19</v>
      </c>
      <c r="AC367">
        <v>1</v>
      </c>
      <c r="AD367">
        <v>1</v>
      </c>
      <c r="AE367">
        <v>23</v>
      </c>
      <c r="AF367">
        <v>13</v>
      </c>
      <c r="AG367">
        <v>27</v>
      </c>
      <c r="AH367">
        <v>30</v>
      </c>
      <c r="AI367">
        <v>23</v>
      </c>
      <c r="AJ367">
        <v>19</v>
      </c>
      <c r="AK367">
        <v>14</v>
      </c>
      <c r="AL367">
        <v>37</v>
      </c>
      <c r="AM367">
        <v>38</v>
      </c>
      <c r="AN367">
        <v>49</v>
      </c>
      <c r="AO367">
        <v>32</v>
      </c>
      <c r="AP367">
        <v>24</v>
      </c>
      <c r="AQ367">
        <v>14</v>
      </c>
      <c r="AR367">
        <v>23</v>
      </c>
      <c r="AS367">
        <v>14</v>
      </c>
      <c r="AT367">
        <v>24</v>
      </c>
      <c r="AU367">
        <v>31</v>
      </c>
      <c r="AV367">
        <v>12</v>
      </c>
      <c r="AW367">
        <v>2</v>
      </c>
      <c r="AX367">
        <v>6</v>
      </c>
      <c r="AY367">
        <v>33</v>
      </c>
      <c r="AZ367">
        <v>44</v>
      </c>
      <c r="BA367">
        <v>28</v>
      </c>
      <c r="BB367">
        <v>9</v>
      </c>
      <c r="BC367">
        <v>30</v>
      </c>
      <c r="BD367">
        <v>32</v>
      </c>
      <c r="BE367">
        <v>26</v>
      </c>
      <c r="BF367">
        <v>230000</v>
      </c>
      <c r="BG367">
        <v>8200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75942-48A6-4A56-ACDD-8A86958AFC4B}">
  <sheetPr codeName="Sheet5"/>
  <dimension ref="C4:F35"/>
  <sheetViews>
    <sheetView topLeftCell="A17" zoomScale="80" zoomScaleNormal="80" workbookViewId="0">
      <selection activeCell="G37" sqref="G37"/>
    </sheetView>
  </sheetViews>
  <sheetFormatPr defaultRowHeight="14.4" x14ac:dyDescent="0.3"/>
  <sheetData>
    <row r="4" spans="3:6" x14ac:dyDescent="0.3">
      <c r="C4" t="s">
        <v>82</v>
      </c>
      <c r="F4" t="s">
        <v>90</v>
      </c>
    </row>
    <row r="5" spans="3:6" x14ac:dyDescent="0.3">
      <c r="C5" s="2" t="s">
        <v>83</v>
      </c>
    </row>
    <row r="6" spans="3:6" x14ac:dyDescent="0.3">
      <c r="C6" s="2" t="s">
        <v>84</v>
      </c>
    </row>
    <row r="7" spans="3:6" x14ac:dyDescent="0.3">
      <c r="C7" t="s">
        <v>85</v>
      </c>
    </row>
    <row r="8" spans="3:6" x14ac:dyDescent="0.3">
      <c r="C8" t="s">
        <v>86</v>
      </c>
    </row>
    <row r="9" spans="3:6" x14ac:dyDescent="0.3">
      <c r="C9" t="s">
        <v>87</v>
      </c>
      <c r="D9" s="13"/>
    </row>
    <row r="10" spans="3:6" x14ac:dyDescent="0.3">
      <c r="C10" t="s">
        <v>88</v>
      </c>
      <c r="D10" s="12"/>
    </row>
    <row r="13" spans="3:6" x14ac:dyDescent="0.3">
      <c r="C13" t="s">
        <v>95</v>
      </c>
    </row>
    <row r="14" spans="3:6" x14ac:dyDescent="0.3">
      <c r="C14" t="s">
        <v>96</v>
      </c>
    </row>
    <row r="15" spans="3:6" x14ac:dyDescent="0.3">
      <c r="C15" t="s">
        <v>97</v>
      </c>
    </row>
    <row r="18" spans="3:3" x14ac:dyDescent="0.3">
      <c r="C18" t="s">
        <v>110</v>
      </c>
    </row>
    <row r="19" spans="3:3" x14ac:dyDescent="0.3">
      <c r="C19" t="s">
        <v>113</v>
      </c>
    </row>
    <row r="20" spans="3:3" x14ac:dyDescent="0.3">
      <c r="C20" t="s">
        <v>111</v>
      </c>
    </row>
    <row r="21" spans="3:3" x14ac:dyDescent="0.3">
      <c r="C21" t="s">
        <v>112</v>
      </c>
    </row>
    <row r="22" spans="3:3" x14ac:dyDescent="0.3">
      <c r="C22" t="s">
        <v>114</v>
      </c>
    </row>
    <row r="23" spans="3:3" x14ac:dyDescent="0.3">
      <c r="C23" t="s">
        <v>115</v>
      </c>
    </row>
    <row r="24" spans="3:3" x14ac:dyDescent="0.3">
      <c r="C24" t="s">
        <v>116</v>
      </c>
    </row>
    <row r="25" spans="3:3" x14ac:dyDescent="0.3">
      <c r="C25" t="s">
        <v>117</v>
      </c>
    </row>
    <row r="27" spans="3:3" x14ac:dyDescent="0.3">
      <c r="C27" t="s">
        <v>118</v>
      </c>
    </row>
    <row r="28" spans="3:3" x14ac:dyDescent="0.3">
      <c r="C28" t="s">
        <v>119</v>
      </c>
    </row>
    <row r="30" spans="3:3" x14ac:dyDescent="0.3">
      <c r="C30" t="s">
        <v>156</v>
      </c>
    </row>
    <row r="31" spans="3:3" x14ac:dyDescent="0.3">
      <c r="C31" t="s">
        <v>157</v>
      </c>
    </row>
    <row r="32" spans="3:3" x14ac:dyDescent="0.3">
      <c r="C32" t="s">
        <v>112</v>
      </c>
    </row>
    <row r="33" spans="3:3" x14ac:dyDescent="0.3">
      <c r="C33" t="s">
        <v>111</v>
      </c>
    </row>
    <row r="35" spans="3:3" x14ac:dyDescent="0.3">
      <c r="C35" t="s">
        <v>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3EFD15-986B-41A6-A7B6-BFD70E75B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Dashbord</vt:lpstr>
      <vt:lpstr>Budegting</vt:lpstr>
      <vt:lpstr>Investmants</vt:lpstr>
      <vt:lpstr>Debts</vt:lpstr>
      <vt:lpstr>Fin Goals</vt:lpstr>
      <vt:lpstr>Processing</vt:lpstr>
      <vt:lpstr>Control</vt:lpstr>
      <vt:lpstr>Data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abdelrhmanmorad03@gmail.com</dc:creator>
  <cp:lastModifiedBy>mohamed wasfy</cp:lastModifiedBy>
  <dcterms:created xsi:type="dcterms:W3CDTF">2026-04-24T04:08:50Z</dcterms:created>
  <dcterms:modified xsi:type="dcterms:W3CDTF">2026-09-09T11:37:23Z</dcterms:modified>
</cp:coreProperties>
</file>